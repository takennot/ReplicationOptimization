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lan.musaev\Documents\"/>
    </mc:Choice>
  </mc:AlternateContent>
  <xr:revisionPtr revIDLastSave="0" documentId="8_{43175AA7-B4D8-444B-857F-8603C749F0AC}" xr6:coauthVersionLast="47" xr6:coauthVersionMax="47" xr10:uidLastSave="{00000000-0000-0000-0000-000000000000}"/>
  <bookViews>
    <workbookView xWindow="-120" yWindow="-120" windowWidth="29040" windowHeight="15720" xr2:uid="{4D96C9F7-B61E-4D24-BAFC-F99081ED2A04}"/>
  </bookViews>
  <sheets>
    <sheet name="BASE_500A_60S_10MS" sheetId="2" r:id="rId1"/>
    <sheet name="RB_500A_60S_10MS" sheetId="3" r:id="rId2"/>
    <sheet name="BASE_500A_60S_300MS" sheetId="4" r:id="rId3"/>
    <sheet name="RB_500A_60S_300MS" sheetId="5" r:id="rId4"/>
  </sheets>
  <definedNames>
    <definedName name="ExternalData_1" localSheetId="0" hidden="1">BASE_500A_60S_10MS!$A$1:$O$62</definedName>
    <definedName name="ExternalData_1" localSheetId="2" hidden="1">BASE_500A_60S_300MS!$A$1:$O$76</definedName>
    <definedName name="ExternalData_1" localSheetId="1" hidden="1">RB_500A_60S_10MS!$A$1:$O$78</definedName>
    <definedName name="ExternalData_1" localSheetId="3" hidden="1">RB_500A_60S_300MS!$A$1:$O$62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4" i="5" l="1"/>
  <c r="O63" i="5"/>
  <c r="N63" i="5"/>
  <c r="M63" i="5"/>
  <c r="L63" i="5"/>
  <c r="K63" i="5"/>
  <c r="J63" i="5"/>
  <c r="I63" i="5"/>
  <c r="H63" i="5"/>
  <c r="G63" i="5"/>
  <c r="F63" i="5"/>
  <c r="E63" i="5"/>
  <c r="D63" i="5"/>
  <c r="A63" i="5"/>
  <c r="K78" i="4"/>
  <c r="O77" i="4"/>
  <c r="N77" i="4"/>
  <c r="M77" i="4"/>
  <c r="L77" i="4"/>
  <c r="K77" i="4"/>
  <c r="J77" i="4"/>
  <c r="I77" i="4"/>
  <c r="H77" i="4"/>
  <c r="G77" i="4"/>
  <c r="F77" i="4"/>
  <c r="E77" i="4"/>
  <c r="D77" i="4"/>
  <c r="A77" i="4"/>
  <c r="K80" i="3"/>
  <c r="O79" i="3"/>
  <c r="N79" i="3"/>
  <c r="M79" i="3"/>
  <c r="L79" i="3"/>
  <c r="K79" i="3"/>
  <c r="J79" i="3"/>
  <c r="I79" i="3"/>
  <c r="H79" i="3"/>
  <c r="G79" i="3"/>
  <c r="F79" i="3"/>
  <c r="E79" i="3"/>
  <c r="D79" i="3"/>
  <c r="A79" i="3"/>
  <c r="K64" i="2"/>
  <c r="O63" i="2"/>
  <c r="N63" i="2"/>
  <c r="M63" i="2"/>
  <c r="L63" i="2"/>
  <c r="K63" i="2"/>
  <c r="J63" i="2"/>
  <c r="I63" i="2"/>
  <c r="H63" i="2"/>
  <c r="G63" i="2"/>
  <c r="F63" i="2"/>
  <c r="E63" i="2"/>
  <c r="D63" i="2"/>
  <c r="A6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7A136B-60DD-4F51-A362-2FF28E8B0C33}" keepAlive="1" name="Query - RB_20261022_150441" description="Connection to the 'RB_20261022_150441' query in the workbook." type="5" refreshedVersion="8" background="1" saveData="1">
    <dbPr connection="Provider=Microsoft.Mashup.OleDb.1;Data Source=$Workbook$;Location=RB_20261022_150441;Extended Properties=&quot;&quot;" command="SELECT * FROM [RB_20261022_150441]"/>
  </connection>
  <connection id="2" xr16:uid="{7CF99A8E-D9F3-423B-B715-955EA46A75FA}" keepAlive="1" name="Query - RB_20261022_150633" description="Connection to the 'RB_20261022_150633' query in the workbook." type="5" refreshedVersion="8" background="1" saveData="1">
    <dbPr connection="Provider=Microsoft.Mashup.OleDb.1;Data Source=$Workbook$;Location=RB_20261022_150633;Extended Properties=&quot;&quot;" command="SELECT * FROM [RB_20261022_150633]"/>
  </connection>
  <connection id="3" xr16:uid="{F783C7B0-C810-4845-A407-4563A9FADFA0}" keepAlive="1" name="Query - RB_20261022_150830" description="Connection to the 'RB_20261022_150830' query in the workbook." type="5" refreshedVersion="8" background="1" saveData="1">
    <dbPr connection="Provider=Microsoft.Mashup.OleDb.1;Data Source=$Workbook$;Location=RB_20261022_150830;Extended Properties=&quot;&quot;" command="SELECT * FROM [RB_20261022_150830]"/>
  </connection>
  <connection id="4" xr16:uid="{E7CA1789-B4F0-46EE-9A41-03D6AD4B6358}" keepAlive="1" name="Query - RB_20261022_151003" description="Connection to the 'RB_20261022_151003' query in the workbook." type="5" refreshedVersion="8" background="1" saveData="1">
    <dbPr connection="Provider=Microsoft.Mashup.OleDb.1;Data Source=$Workbook$;Location=RB_20261022_151003;Extended Properties=&quot;&quot;" command="SELECT * FROM [RB_20261022_151003]"/>
  </connection>
</connections>
</file>

<file path=xl/sharedStrings.xml><?xml version="1.0" encoding="utf-8"?>
<sst xmlns="http://schemas.openxmlformats.org/spreadsheetml/2006/main" count="638" uniqueCount="28">
  <si>
    <t>client_time_s</t>
  </si>
  <si>
    <t>capture_side</t>
  </si>
  <si>
    <t>policy</t>
  </si>
  <si>
    <t>configured_actors</t>
  </si>
  <si>
    <t>observed_actors</t>
  </si>
  <si>
    <t>actors_with_movement_samples</t>
  </si>
  <si>
    <t>movement_events_per_s</t>
  </si>
  <si>
    <t>mean_age_since_event_s</t>
  </si>
  <si>
    <t>client_ping_ms</t>
  </si>
  <si>
    <t>net_sample_duration_s</t>
  </si>
  <si>
    <t>in_bytes_per_s</t>
  </si>
  <si>
    <t>out_bytes_per_s</t>
  </si>
  <si>
    <t>in_packets_per_s</t>
  </si>
  <si>
    <t>out_packets_per_s</t>
  </si>
  <si>
    <t>net_actor_channels</t>
  </si>
  <si>
    <t>client</t>
  </si>
  <si>
    <t>baseline</t>
  </si>
  <si>
    <t/>
  </si>
  <si>
    <t>prioritized</t>
  </si>
  <si>
    <t>65,9% reduction in movement events per second</t>
  </si>
  <si>
    <t>Increased mean age since less updates</t>
  </si>
  <si>
    <t>65,4% reduction in incoming traffic (KiB/s)</t>
  </si>
  <si>
    <t>About same outgoing</t>
  </si>
  <si>
    <t>48,9% reduction in incoming packets per second</t>
  </si>
  <si>
    <t>66% reduction in movement events per second</t>
  </si>
  <si>
    <t>65,3% reduction in incoming traffic (KiB/s)</t>
  </si>
  <si>
    <t>A little less outgoing?</t>
  </si>
  <si>
    <t>48,3% reduction in incoming packets per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</si>
</sst>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010570-2CFA-4107-A357-625158A1D5E3}" autoFormatId="16" applyNumberFormats="0" applyBorderFormats="0" applyFontFormats="0" applyPatternFormats="0" applyAlignmentFormats="0" applyWidthHeightFormats="0">
  <queryTableRefresh nextId="16">
    <queryTableFields count="15">
      <queryTableField id="1" name="client_time_s" tableColumnId="1"/>
      <queryTableField id="2" name="capture_side" tableColumnId="2"/>
      <queryTableField id="3" name="policy" tableColumnId="3"/>
      <queryTableField id="4" name="configured_actors" tableColumnId="4"/>
      <queryTableField id="5" name="observed_actors" tableColumnId="5"/>
      <queryTableField id="6" name="actors_with_movement_samples" tableColumnId="6"/>
      <queryTableField id="7" name="movement_events_per_s" tableColumnId="7"/>
      <queryTableField id="8" name="mean_age_since_event_s" tableColumnId="8"/>
      <queryTableField id="9" name="client_ping_ms" tableColumnId="9"/>
      <queryTableField id="10" name="net_sample_duration_s" tableColumnId="10"/>
      <queryTableField id="11" name="in_bytes_per_s" tableColumnId="11"/>
      <queryTableField id="12" name="out_bytes_per_s" tableColumnId="12"/>
      <queryTableField id="13" name="in_packets_per_s" tableColumnId="13"/>
      <queryTableField id="14" name="out_packets_per_s" tableColumnId="14"/>
      <queryTableField id="15" name="net_actor_channel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DBA02B-082C-49FE-9C41-FAA84EBE53BF}" autoFormatId="16" applyNumberFormats="0" applyBorderFormats="0" applyFontFormats="0" applyPatternFormats="0" applyAlignmentFormats="0" applyWidthHeightFormats="0">
  <queryTableRefresh nextId="16">
    <queryTableFields count="15">
      <queryTableField id="1" name="client_time_s" tableColumnId="1"/>
      <queryTableField id="2" name="capture_side" tableColumnId="2"/>
      <queryTableField id="3" name="policy" tableColumnId="3"/>
      <queryTableField id="4" name="configured_actors" tableColumnId="4"/>
      <queryTableField id="5" name="observed_actors" tableColumnId="5"/>
      <queryTableField id="6" name="actors_with_movement_samples" tableColumnId="6"/>
      <queryTableField id="7" name="movement_events_per_s" tableColumnId="7"/>
      <queryTableField id="8" name="mean_age_since_event_s" tableColumnId="8"/>
      <queryTableField id="9" name="client_ping_ms" tableColumnId="9"/>
      <queryTableField id="10" name="net_sample_duration_s" tableColumnId="10"/>
      <queryTableField id="11" name="in_bytes_per_s" tableColumnId="11"/>
      <queryTableField id="12" name="out_bytes_per_s" tableColumnId="12"/>
      <queryTableField id="13" name="in_packets_per_s" tableColumnId="13"/>
      <queryTableField id="14" name="out_packets_per_s" tableColumnId="14"/>
      <queryTableField id="15" name="net_actor_channels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FF2D7FF-B1FF-410C-9F1E-AC53B2B1A073}" autoFormatId="16" applyNumberFormats="0" applyBorderFormats="0" applyFontFormats="0" applyPatternFormats="0" applyAlignmentFormats="0" applyWidthHeightFormats="0">
  <queryTableRefresh nextId="16">
    <queryTableFields count="15">
      <queryTableField id="1" name="client_time_s" tableColumnId="1"/>
      <queryTableField id="2" name="capture_side" tableColumnId="2"/>
      <queryTableField id="3" name="policy" tableColumnId="3"/>
      <queryTableField id="4" name="configured_actors" tableColumnId="4"/>
      <queryTableField id="5" name="observed_actors" tableColumnId="5"/>
      <queryTableField id="6" name="actors_with_movement_samples" tableColumnId="6"/>
      <queryTableField id="7" name="movement_events_per_s" tableColumnId="7"/>
      <queryTableField id="8" name="mean_age_since_event_s" tableColumnId="8"/>
      <queryTableField id="9" name="client_ping_ms" tableColumnId="9"/>
      <queryTableField id="10" name="net_sample_duration_s" tableColumnId="10"/>
      <queryTableField id="11" name="in_bytes_per_s" tableColumnId="11"/>
      <queryTableField id="12" name="out_bytes_per_s" tableColumnId="12"/>
      <queryTableField id="13" name="in_packets_per_s" tableColumnId="13"/>
      <queryTableField id="14" name="out_packets_per_s" tableColumnId="14"/>
      <queryTableField id="15" name="net_actor_channels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B4DB828-0D17-45D6-B836-AF773CB6DD84}" autoFormatId="16" applyNumberFormats="0" applyBorderFormats="0" applyFontFormats="0" applyPatternFormats="0" applyAlignmentFormats="0" applyWidthHeightFormats="0">
  <queryTableRefresh nextId="16">
    <queryTableFields count="15">
      <queryTableField id="1" name="client_time_s" tableColumnId="1"/>
      <queryTableField id="2" name="capture_side" tableColumnId="2"/>
      <queryTableField id="3" name="policy" tableColumnId="3"/>
      <queryTableField id="4" name="configured_actors" tableColumnId="4"/>
      <queryTableField id="5" name="observed_actors" tableColumnId="5"/>
      <queryTableField id="6" name="actors_with_movement_samples" tableColumnId="6"/>
      <queryTableField id="7" name="movement_events_per_s" tableColumnId="7"/>
      <queryTableField id="8" name="mean_age_since_event_s" tableColumnId="8"/>
      <queryTableField id="9" name="client_ping_ms" tableColumnId="9"/>
      <queryTableField id="10" name="net_sample_duration_s" tableColumnId="10"/>
      <queryTableField id="11" name="in_bytes_per_s" tableColumnId="11"/>
      <queryTableField id="12" name="out_bytes_per_s" tableColumnId="12"/>
      <queryTableField id="13" name="in_packets_per_s" tableColumnId="13"/>
      <queryTableField id="14" name="out_packets_per_s" tableColumnId="14"/>
      <queryTableField id="15" name="net_actor_channel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A336A-5DB8-4D62-B919-F74B77F86995}" name="RB_20261022_150441" displayName="RB_20261022_150441" ref="A1:O63" tableType="queryTable" totalsRowCount="1">
  <autoFilter ref="A1:O62" xr:uid="{A78A336A-5DB8-4D62-B919-F74B77F86995}"/>
  <tableColumns count="15">
    <tableColumn id="1" xr3:uid="{35C7062E-2B93-4D86-B34A-05A78399DA9E}" uniqueName="1" name="client_time_s" totalsRowFunction="average" queryTableFieldId="1" dataDxfId="87" totalsRowDxfId="76"/>
    <tableColumn id="2" xr3:uid="{DFAA4345-9478-4477-B5B2-BFDCEFABDAC3}" uniqueName="2" name="capture_side" queryTableFieldId="2" dataDxfId="86" totalsRowDxfId="75"/>
    <tableColumn id="3" xr3:uid="{B9125245-459D-4981-8C08-B4FE28604CEC}" uniqueName="3" name="policy" queryTableFieldId="3" dataDxfId="85" totalsRowDxfId="74"/>
    <tableColumn id="4" xr3:uid="{898CD455-31CD-4C13-98BB-27A7068D5B83}" uniqueName="4" name="configured_actors" totalsRowFunction="average" queryTableFieldId="4"/>
    <tableColumn id="5" xr3:uid="{6331F4CA-B657-45F0-9357-4A9ECCE6033D}" uniqueName="5" name="observed_actors" totalsRowFunction="average" queryTableFieldId="5"/>
    <tableColumn id="6" xr3:uid="{6F53AF5C-1143-4006-AD69-940747B159EA}" uniqueName="6" name="actors_with_movement_samples" totalsRowFunction="average" queryTableFieldId="6"/>
    <tableColumn id="7" xr3:uid="{58D82385-4CD3-49CE-BAC0-7D32DEACD8ED}" uniqueName="7" name="movement_events_per_s" totalsRowFunction="average" queryTableFieldId="7" dataDxfId="84" totalsRowDxfId="73"/>
    <tableColumn id="8" xr3:uid="{878D0FD8-F929-4332-BCB9-BCE520D01B9C}" uniqueName="8" name="mean_age_since_event_s" totalsRowFunction="average" queryTableFieldId="8" dataDxfId="83" totalsRowDxfId="72"/>
    <tableColumn id="9" xr3:uid="{9DF70BB9-E52D-4114-91A1-D6D6CB4D1268}" uniqueName="9" name="client_ping_ms" totalsRowFunction="average" queryTableFieldId="9" dataDxfId="82" totalsRowDxfId="71"/>
    <tableColumn id="10" xr3:uid="{955C5D5B-601D-403C-8211-D41945179804}" uniqueName="10" name="net_sample_duration_s" totalsRowFunction="average" queryTableFieldId="10" dataDxfId="81" totalsRowDxfId="70"/>
    <tableColumn id="11" xr3:uid="{78409DE6-22D9-4F12-ADDE-D7CAD773EF2E}" uniqueName="11" name="in_bytes_per_s" totalsRowFunction="average" queryTableFieldId="11" dataDxfId="80" totalsRowDxfId="69"/>
    <tableColumn id="12" xr3:uid="{2B9CFF90-234E-49D1-B7BF-9E70372E39AC}" uniqueName="12" name="out_bytes_per_s" totalsRowFunction="average" queryTableFieldId="12" dataDxfId="79" totalsRowDxfId="68"/>
    <tableColumn id="13" xr3:uid="{5116893B-9E78-486F-90C5-36BD47C2C6EB}" uniqueName="13" name="in_packets_per_s" totalsRowFunction="average" queryTableFieldId="13" dataDxfId="78" totalsRowDxfId="67"/>
    <tableColumn id="14" xr3:uid="{668DF5CC-9EB3-45B6-A2B0-8D6CC4236A25}" uniqueName="14" name="out_packets_per_s" totalsRowFunction="average" queryTableFieldId="14" dataDxfId="77" totalsRowDxfId="66"/>
    <tableColumn id="15" xr3:uid="{24B9569D-313A-454D-A9FB-638D40A7D2FF}" uniqueName="15" name="net_actor_channels" totalsRowFunction="averag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51248A-314F-49FB-84B4-332126BDC1FE}" name="RB_20261022_150633" displayName="RB_20261022_150633" ref="A1:O79" tableType="queryTable" totalsRowCount="1">
  <autoFilter ref="A1:O78" xr:uid="{6D51248A-314F-49FB-84B4-332126BDC1FE}"/>
  <tableColumns count="15">
    <tableColumn id="1" xr3:uid="{04CB330A-EE5D-4651-9741-9B9E27A07F9F}" uniqueName="1" name="client_time_s" totalsRowFunction="average" queryTableFieldId="1" dataDxfId="65" totalsRowDxfId="54"/>
    <tableColumn id="2" xr3:uid="{3CCF1B5A-A0FE-4C9E-863D-B4551A0E38F7}" uniqueName="2" name="capture_side" queryTableFieldId="2" dataDxfId="64" totalsRowDxfId="53"/>
    <tableColumn id="3" xr3:uid="{060CD59E-2D58-46D1-94E3-90D660F313C9}" uniqueName="3" name="policy" queryTableFieldId="3" dataDxfId="63" totalsRowDxfId="52"/>
    <tableColumn id="4" xr3:uid="{6449CE5B-55BB-49C3-A75D-D9B74AD8DD0A}" uniqueName="4" name="configured_actors" totalsRowFunction="average" queryTableFieldId="4"/>
    <tableColumn id="5" xr3:uid="{11409CCB-D75B-4F85-836C-513F8C6FBFC7}" uniqueName="5" name="observed_actors" totalsRowFunction="average" queryTableFieldId="5"/>
    <tableColumn id="6" xr3:uid="{20E66BFC-271A-4A3E-88A5-89AF6499547C}" uniqueName="6" name="actors_with_movement_samples" totalsRowFunction="average" queryTableFieldId="6"/>
    <tableColumn id="7" xr3:uid="{A27D7174-1602-4863-9D58-72C1652A96E0}" uniqueName="7" name="movement_events_per_s" totalsRowFunction="average" queryTableFieldId="7" dataDxfId="62" totalsRowDxfId="51"/>
    <tableColumn id="8" xr3:uid="{597E21DE-1A5C-4543-B2A2-622E421AB270}" uniqueName="8" name="mean_age_since_event_s" totalsRowFunction="average" queryTableFieldId="8" dataDxfId="61" totalsRowDxfId="50"/>
    <tableColumn id="9" xr3:uid="{A7D696B7-3451-4574-819D-68A446E4F237}" uniqueName="9" name="client_ping_ms" totalsRowFunction="average" queryTableFieldId="9" dataDxfId="60" totalsRowDxfId="49"/>
    <tableColumn id="10" xr3:uid="{62A8020B-2112-4007-A983-055BDD6FC058}" uniqueName="10" name="net_sample_duration_s" totalsRowFunction="average" queryTableFieldId="10" dataDxfId="59" totalsRowDxfId="48"/>
    <tableColumn id="11" xr3:uid="{34A8FEF0-D5B4-466E-A4D9-AB3041A9AF39}" uniqueName="11" name="in_bytes_per_s" totalsRowFunction="average" queryTableFieldId="11" dataDxfId="58" totalsRowDxfId="47"/>
    <tableColumn id="12" xr3:uid="{024C0F10-EDE1-45A3-A222-C87B0AFE1C35}" uniqueName="12" name="out_bytes_per_s" totalsRowFunction="average" queryTableFieldId="12" dataDxfId="57" totalsRowDxfId="46"/>
    <tableColumn id="13" xr3:uid="{F7966817-B9DC-41C1-9859-1E8762515629}" uniqueName="13" name="in_packets_per_s" totalsRowFunction="average" queryTableFieldId="13" dataDxfId="56" totalsRowDxfId="45"/>
    <tableColumn id="14" xr3:uid="{0BA44631-5ECD-4B3D-A790-9B0E4E1B7144}" uniqueName="14" name="out_packets_per_s" totalsRowFunction="average" queryTableFieldId="14" dataDxfId="55" totalsRowDxfId="44"/>
    <tableColumn id="15" xr3:uid="{49DAC2A0-515D-4C97-B372-7B3F92FF3756}" uniqueName="15" name="net_actor_channels" totalsRowFunction="average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2CD014-1AED-4846-8519-578BD6DD01EE}" name="RB_20261022_150830" displayName="RB_20261022_150830" ref="A1:O77" tableType="queryTable" totalsRowCount="1">
  <autoFilter ref="A1:O76" xr:uid="{122CD014-1AED-4846-8519-578BD6DD01EE}"/>
  <tableColumns count="15">
    <tableColumn id="1" xr3:uid="{7B8B1DF7-5BE5-415D-8F2F-132B9321514B}" uniqueName="1" name="client_time_s" totalsRowFunction="average" queryTableFieldId="1" dataDxfId="43" totalsRowDxfId="32"/>
    <tableColumn id="2" xr3:uid="{6EDBB659-2583-4529-BFF3-98F15BBE4F2C}" uniqueName="2" name="capture_side" queryTableFieldId="2" dataDxfId="42" totalsRowDxfId="31"/>
    <tableColumn id="3" xr3:uid="{6C47EA5D-6CDC-4C8E-A94A-6DC83F750028}" uniqueName="3" name="policy" queryTableFieldId="3" dataDxfId="41" totalsRowDxfId="30"/>
    <tableColumn id="4" xr3:uid="{5AA0C401-067F-434A-B316-761742310549}" uniqueName="4" name="configured_actors" totalsRowFunction="average" queryTableFieldId="4"/>
    <tableColumn id="5" xr3:uid="{A71052B7-81E2-4867-B64E-695932CD4561}" uniqueName="5" name="observed_actors" totalsRowFunction="average" queryTableFieldId="5"/>
    <tableColumn id="6" xr3:uid="{21CA18B3-9A93-4509-A174-A362E48D1A22}" uniqueName="6" name="actors_with_movement_samples" totalsRowFunction="average" queryTableFieldId="6"/>
    <tableColumn id="7" xr3:uid="{47665319-3391-471B-B3E5-5084B68804AD}" uniqueName="7" name="movement_events_per_s" totalsRowFunction="average" queryTableFieldId="7" dataDxfId="40" totalsRowDxfId="29"/>
    <tableColumn id="8" xr3:uid="{570BBB17-6021-47D9-AD29-D3AE4868E446}" uniqueName="8" name="mean_age_since_event_s" totalsRowFunction="average" queryTableFieldId="8" dataDxfId="39" totalsRowDxfId="28"/>
    <tableColumn id="9" xr3:uid="{25AB9504-9F20-481B-9440-A799C0885467}" uniqueName="9" name="client_ping_ms" totalsRowFunction="average" queryTableFieldId="9" dataDxfId="38" totalsRowDxfId="27"/>
    <tableColumn id="10" xr3:uid="{11264227-27C0-41EE-A175-091C4531B39A}" uniqueName="10" name="net_sample_duration_s" totalsRowFunction="average" queryTableFieldId="10" dataDxfId="37" totalsRowDxfId="26"/>
    <tableColumn id="11" xr3:uid="{7B08A403-99BA-4C17-84E8-978C6E7CDF47}" uniqueName="11" name="in_bytes_per_s" totalsRowFunction="average" queryTableFieldId="11" dataDxfId="36" totalsRowDxfId="25"/>
    <tableColumn id="12" xr3:uid="{17BF9C7D-24C0-490F-B26D-BC92E4970CA8}" uniqueName="12" name="out_bytes_per_s" totalsRowFunction="average" queryTableFieldId="12" dataDxfId="35" totalsRowDxfId="24"/>
    <tableColumn id="13" xr3:uid="{D536D492-FCA7-4BE1-A98F-FA7143259EF6}" uniqueName="13" name="in_packets_per_s" totalsRowFunction="average" queryTableFieldId="13" dataDxfId="34" totalsRowDxfId="23"/>
    <tableColumn id="14" xr3:uid="{0E1FD498-51E3-4654-B347-BF0D863BF2CB}" uniqueName="14" name="out_packets_per_s" totalsRowFunction="average" queryTableFieldId="14" dataDxfId="33" totalsRowDxfId="22"/>
    <tableColumn id="15" xr3:uid="{C1A521AA-346F-40BE-95F2-B92A89C85536}" uniqueName="15" name="net_actor_channels" totalsRowFunction="average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7D63A8-5343-4386-969D-90F87F5C76C6}" name="RB_20261022_151003" displayName="RB_20261022_151003" ref="A1:O63" tableType="queryTable" totalsRowCount="1">
  <autoFilter ref="A1:O62" xr:uid="{BE7D63A8-5343-4386-969D-90F87F5C76C6}"/>
  <tableColumns count="15">
    <tableColumn id="1" xr3:uid="{033FC27E-D174-4F6D-9C86-022B8A0E034B}" uniqueName="1" name="client_time_s" totalsRowFunction="average" queryTableFieldId="1" dataDxfId="21" totalsRowDxfId="10"/>
    <tableColumn id="2" xr3:uid="{38F8B233-3EA0-47DD-8368-87084053D7CF}" uniqueName="2" name="capture_side" queryTableFieldId="2" dataDxfId="20" totalsRowDxfId="9"/>
    <tableColumn id="3" xr3:uid="{49060944-B7CE-472E-8028-0E0BAAE8A41F}" uniqueName="3" name="policy" queryTableFieldId="3" dataDxfId="19" totalsRowDxfId="8"/>
    <tableColumn id="4" xr3:uid="{44B965DE-65C0-4FBF-8D60-4FA0AE53805E}" uniqueName="4" name="configured_actors" totalsRowFunction="average" queryTableFieldId="4"/>
    <tableColumn id="5" xr3:uid="{43FB68F2-3530-48DA-AD0F-07D85EE932CF}" uniqueName="5" name="observed_actors" totalsRowFunction="average" queryTableFieldId="5"/>
    <tableColumn id="6" xr3:uid="{B63CFBB4-C3A5-4286-8129-4064F8D261E8}" uniqueName="6" name="actors_with_movement_samples" totalsRowFunction="average" queryTableFieldId="6"/>
    <tableColumn id="7" xr3:uid="{07C738EF-EF8F-4175-863D-627B18F299A9}" uniqueName="7" name="movement_events_per_s" totalsRowFunction="average" queryTableFieldId="7" dataDxfId="18" totalsRowDxfId="7"/>
    <tableColumn id="8" xr3:uid="{71F40F62-5678-41B3-AE89-BBCAA7498357}" uniqueName="8" name="mean_age_since_event_s" totalsRowFunction="average" queryTableFieldId="8" dataDxfId="17" totalsRowDxfId="6"/>
    <tableColumn id="9" xr3:uid="{F36A9C0B-A44B-4DD9-B11F-DAF2078A8013}" uniqueName="9" name="client_ping_ms" totalsRowFunction="average" queryTableFieldId="9" dataDxfId="16" totalsRowDxfId="5"/>
    <tableColumn id="10" xr3:uid="{1EC93E0C-0F71-426D-B623-367F1B1DCFE9}" uniqueName="10" name="net_sample_duration_s" totalsRowFunction="average" queryTableFieldId="10" dataDxfId="15" totalsRowDxfId="4"/>
    <tableColumn id="11" xr3:uid="{F34CDE8F-743F-4B40-89C8-2F9339AC575C}" uniqueName="11" name="in_bytes_per_s" totalsRowFunction="average" queryTableFieldId="11" dataDxfId="14" totalsRowDxfId="3"/>
    <tableColumn id="12" xr3:uid="{A782C6E3-477F-4454-A51F-7741536E54CB}" uniqueName="12" name="out_bytes_per_s" totalsRowFunction="average" queryTableFieldId="12" dataDxfId="13" totalsRowDxfId="2"/>
    <tableColumn id="13" xr3:uid="{29FCD71A-A1FC-4A70-A0F8-95E5E584027A}" uniqueName="13" name="in_packets_per_s" totalsRowFunction="average" queryTableFieldId="13" dataDxfId="12" totalsRowDxfId="1"/>
    <tableColumn id="14" xr3:uid="{B70FCBA7-4EAA-476E-87A6-82674083A103}" uniqueName="14" name="out_packets_per_s" totalsRowFunction="average" queryTableFieldId="14" dataDxfId="11" totalsRowDxfId="0"/>
    <tableColumn id="15" xr3:uid="{438BB407-FA93-4059-A3FD-076479470A94}" uniqueName="15" name="net_actor_channels" totalsRowFunction="averag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AF20-BE24-4A19-BECB-41F30FD19010}">
  <dimension ref="A1:O64"/>
  <sheetViews>
    <sheetView tabSelected="1" topLeftCell="A16" workbookViewId="0">
      <selection activeCell="M63" sqref="M63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8.7109375" bestFit="1" customWidth="1"/>
    <col min="4" max="4" width="19.7109375" bestFit="1" customWidth="1"/>
    <col min="5" max="5" width="18.28515625" bestFit="1" customWidth="1"/>
    <col min="6" max="6" width="33.28515625" bestFit="1" customWidth="1"/>
    <col min="7" max="7" width="26.140625" bestFit="1" customWidth="1"/>
    <col min="8" max="8" width="26.28515625" bestFit="1" customWidth="1"/>
    <col min="9" max="9" width="16.85546875" bestFit="1" customWidth="1"/>
    <col min="10" max="10" width="24.42578125" bestFit="1" customWidth="1"/>
    <col min="11" max="11" width="16.7109375" bestFit="1" customWidth="1"/>
    <col min="12" max="12" width="18" bestFit="1" customWidth="1"/>
    <col min="13" max="13" width="18.7109375" bestFit="1" customWidth="1"/>
    <col min="14" max="14" width="20.140625" bestFit="1" customWidth="1"/>
    <col min="15" max="15" width="2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23.971</v>
      </c>
      <c r="B2" s="1" t="s">
        <v>15</v>
      </c>
      <c r="C2" s="1" t="s">
        <v>16</v>
      </c>
      <c r="D2">
        <v>500</v>
      </c>
      <c r="E2">
        <v>500</v>
      </c>
      <c r="F2">
        <v>500</v>
      </c>
      <c r="G2" s="1">
        <v>0</v>
      </c>
      <c r="H2" s="1">
        <v>3.5799999999999998E-2</v>
      </c>
      <c r="I2" s="2">
        <v>46212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>
        <v>509</v>
      </c>
    </row>
    <row r="3" spans="1:15" x14ac:dyDescent="0.25">
      <c r="A3" s="1">
        <v>24.975999999999999</v>
      </c>
      <c r="B3" s="1" t="s">
        <v>15</v>
      </c>
      <c r="C3" s="1" t="s">
        <v>16</v>
      </c>
      <c r="D3">
        <v>500</v>
      </c>
      <c r="E3">
        <v>500</v>
      </c>
      <c r="F3">
        <v>500</v>
      </c>
      <c r="G3" s="1">
        <v>8163.51</v>
      </c>
      <c r="H3" s="1">
        <v>3.6600000000000001E-2</v>
      </c>
      <c r="I3" s="2">
        <v>46243</v>
      </c>
      <c r="J3" s="1">
        <v>1.006</v>
      </c>
      <c r="K3" s="1">
        <v>134876.9</v>
      </c>
      <c r="L3" s="1">
        <v>3579.6</v>
      </c>
      <c r="M3" s="1">
        <v>178</v>
      </c>
      <c r="N3" s="1">
        <v>89.5</v>
      </c>
      <c r="O3">
        <v>509</v>
      </c>
    </row>
    <row r="4" spans="1:15" x14ac:dyDescent="0.25">
      <c r="A4" s="1">
        <v>25.981000000000002</v>
      </c>
      <c r="B4" s="1" t="s">
        <v>15</v>
      </c>
      <c r="C4" s="1" t="s">
        <v>16</v>
      </c>
      <c r="D4">
        <v>500</v>
      </c>
      <c r="E4">
        <v>500</v>
      </c>
      <c r="F4">
        <v>500</v>
      </c>
      <c r="G4" s="1">
        <v>8164.0029999999997</v>
      </c>
      <c r="H4" s="1">
        <v>3.6499999999999998E-2</v>
      </c>
      <c r="I4" s="2">
        <v>46121</v>
      </c>
      <c r="J4" s="1">
        <v>1.004</v>
      </c>
      <c r="K4" s="1">
        <v>134936.1</v>
      </c>
      <c r="L4" s="1">
        <v>3585.1</v>
      </c>
      <c r="M4" s="1">
        <v>179.3</v>
      </c>
      <c r="N4" s="1">
        <v>89.6</v>
      </c>
      <c r="O4">
        <v>509</v>
      </c>
    </row>
    <row r="5" spans="1:15" x14ac:dyDescent="0.25">
      <c r="A5" s="1">
        <v>26.988</v>
      </c>
      <c r="B5" s="1" t="s">
        <v>15</v>
      </c>
      <c r="C5" s="1" t="s">
        <v>16</v>
      </c>
      <c r="D5">
        <v>500</v>
      </c>
      <c r="E5">
        <v>500</v>
      </c>
      <c r="F5">
        <v>500</v>
      </c>
      <c r="G5" s="1">
        <v>8180.8980000000001</v>
      </c>
      <c r="H5" s="1">
        <v>3.6400000000000002E-2</v>
      </c>
      <c r="I5" s="2">
        <v>46121</v>
      </c>
      <c r="J5" s="1">
        <v>1.0069999999999999</v>
      </c>
      <c r="K5" s="1">
        <v>135185.79999999999</v>
      </c>
      <c r="L5" s="1">
        <v>3573.7</v>
      </c>
      <c r="M5" s="1">
        <v>178.7</v>
      </c>
      <c r="N5" s="1">
        <v>89.3</v>
      </c>
      <c r="O5">
        <v>509</v>
      </c>
    </row>
    <row r="6" spans="1:15" x14ac:dyDescent="0.25">
      <c r="A6" s="1">
        <v>27.997</v>
      </c>
      <c r="B6" s="1" t="s">
        <v>15</v>
      </c>
      <c r="C6" s="1" t="s">
        <v>16</v>
      </c>
      <c r="D6">
        <v>500</v>
      </c>
      <c r="E6">
        <v>500</v>
      </c>
      <c r="F6">
        <v>500</v>
      </c>
      <c r="G6" s="1">
        <v>8162.73</v>
      </c>
      <c r="H6" s="1">
        <v>3.8399999999999997E-2</v>
      </c>
      <c r="I6" s="2">
        <v>46062</v>
      </c>
      <c r="J6" s="1">
        <v>1.0089999999999999</v>
      </c>
      <c r="K6" s="1">
        <v>134847.20000000001</v>
      </c>
      <c r="L6" s="1">
        <v>3569.3</v>
      </c>
      <c r="M6" s="1">
        <v>177.5</v>
      </c>
      <c r="N6" s="1">
        <v>89.2</v>
      </c>
      <c r="O6">
        <v>509</v>
      </c>
    </row>
    <row r="7" spans="1:15" x14ac:dyDescent="0.25">
      <c r="A7" s="1">
        <v>29.001000000000001</v>
      </c>
      <c r="B7" s="1" t="s">
        <v>15</v>
      </c>
      <c r="C7" s="1" t="s">
        <v>16</v>
      </c>
      <c r="D7">
        <v>500</v>
      </c>
      <c r="E7">
        <v>500</v>
      </c>
      <c r="F7">
        <v>500</v>
      </c>
      <c r="G7" s="1">
        <v>8183.1639999999998</v>
      </c>
      <c r="H7" s="1">
        <v>3.6799999999999999E-2</v>
      </c>
      <c r="I7" s="2">
        <v>46031</v>
      </c>
      <c r="J7" s="1">
        <v>1.0049999999999999</v>
      </c>
      <c r="K7" s="1">
        <v>135085.9</v>
      </c>
      <c r="L7" s="1">
        <v>3543.2</v>
      </c>
      <c r="M7" s="1">
        <v>175.2</v>
      </c>
      <c r="N7" s="1">
        <v>88.6</v>
      </c>
      <c r="O7">
        <v>509</v>
      </c>
    </row>
    <row r="8" spans="1:15" x14ac:dyDescent="0.25">
      <c r="A8" s="1">
        <v>30.007999999999999</v>
      </c>
      <c r="B8" s="1" t="s">
        <v>15</v>
      </c>
      <c r="C8" s="1" t="s">
        <v>16</v>
      </c>
      <c r="D8">
        <v>500</v>
      </c>
      <c r="E8">
        <v>500</v>
      </c>
      <c r="F8">
        <v>500</v>
      </c>
      <c r="G8" s="1">
        <v>8171.6040000000003</v>
      </c>
      <c r="H8" s="1">
        <v>3.5900000000000001E-2</v>
      </c>
      <c r="I8" s="2">
        <v>46031</v>
      </c>
      <c r="J8" s="1">
        <v>1.0069999999999999</v>
      </c>
      <c r="K8" s="1">
        <v>135036.1</v>
      </c>
      <c r="L8" s="1">
        <v>3576.2</v>
      </c>
      <c r="M8" s="1">
        <v>178.8</v>
      </c>
      <c r="N8" s="1">
        <v>89.4</v>
      </c>
      <c r="O8">
        <v>509</v>
      </c>
    </row>
    <row r="9" spans="1:15" x14ac:dyDescent="0.25">
      <c r="A9" s="1">
        <v>31.015999999999998</v>
      </c>
      <c r="B9" s="1" t="s">
        <v>15</v>
      </c>
      <c r="C9" s="1" t="s">
        <v>16</v>
      </c>
      <c r="D9">
        <v>500</v>
      </c>
      <c r="E9">
        <v>500</v>
      </c>
      <c r="F9">
        <v>500</v>
      </c>
      <c r="G9" s="1">
        <v>8165.2479999999996</v>
      </c>
      <c r="H9" s="1">
        <v>3.6499999999999998E-2</v>
      </c>
      <c r="I9" s="2">
        <v>46031</v>
      </c>
      <c r="J9" s="1">
        <v>1.008</v>
      </c>
      <c r="K9" s="1">
        <v>134945.29999999999</v>
      </c>
      <c r="L9" s="1">
        <v>3570.4</v>
      </c>
      <c r="M9" s="1">
        <v>178.5</v>
      </c>
      <c r="N9" s="1">
        <v>89.3</v>
      </c>
      <c r="O9">
        <v>509</v>
      </c>
    </row>
    <row r="10" spans="1:15" x14ac:dyDescent="0.25">
      <c r="A10" s="1">
        <v>32.018000000000001</v>
      </c>
      <c r="B10" s="1" t="s">
        <v>15</v>
      </c>
      <c r="C10" s="1" t="s">
        <v>16</v>
      </c>
      <c r="D10">
        <v>500</v>
      </c>
      <c r="E10">
        <v>500</v>
      </c>
      <c r="F10">
        <v>500</v>
      </c>
      <c r="G10" s="1">
        <v>8155.7190000000001</v>
      </c>
      <c r="H10" s="1">
        <v>3.7499999999999999E-2</v>
      </c>
      <c r="I10" s="2">
        <v>46031</v>
      </c>
      <c r="J10" s="1">
        <v>1.002</v>
      </c>
      <c r="K10" s="1">
        <v>134717.6</v>
      </c>
      <c r="L10" s="1">
        <v>3553.3</v>
      </c>
      <c r="M10" s="1">
        <v>176.7</v>
      </c>
      <c r="N10" s="1">
        <v>88.8</v>
      </c>
      <c r="O10">
        <v>509</v>
      </c>
    </row>
    <row r="11" spans="1:15" x14ac:dyDescent="0.25">
      <c r="A11" s="1">
        <v>33.026000000000003</v>
      </c>
      <c r="B11" s="1" t="s">
        <v>15</v>
      </c>
      <c r="C11" s="1" t="s">
        <v>16</v>
      </c>
      <c r="D11">
        <v>500</v>
      </c>
      <c r="E11">
        <v>500</v>
      </c>
      <c r="F11">
        <v>500</v>
      </c>
      <c r="G11" s="1">
        <v>8134.8140000000003</v>
      </c>
      <c r="H11" s="1">
        <v>3.61E-2</v>
      </c>
      <c r="I11" s="2">
        <v>46031</v>
      </c>
      <c r="J11" s="1">
        <v>1.008</v>
      </c>
      <c r="K11" s="1">
        <v>134328.6</v>
      </c>
      <c r="L11" s="1">
        <v>3492</v>
      </c>
      <c r="M11" s="1">
        <v>175.6</v>
      </c>
      <c r="N11" s="1">
        <v>87.3</v>
      </c>
      <c r="O11">
        <v>509</v>
      </c>
    </row>
    <row r="12" spans="1:15" x14ac:dyDescent="0.25">
      <c r="A12" s="1">
        <v>34.029000000000003</v>
      </c>
      <c r="B12" s="1" t="s">
        <v>15</v>
      </c>
      <c r="C12" s="1" t="s">
        <v>16</v>
      </c>
      <c r="D12">
        <v>500</v>
      </c>
      <c r="E12">
        <v>500</v>
      </c>
      <c r="F12">
        <v>500</v>
      </c>
      <c r="G12" s="1">
        <v>8116.8940000000002</v>
      </c>
      <c r="H12" s="1">
        <v>3.5799999999999998E-2</v>
      </c>
      <c r="I12" s="2">
        <v>46031</v>
      </c>
      <c r="J12" s="1">
        <v>1.002</v>
      </c>
      <c r="K12" s="1">
        <v>133888.29999999999</v>
      </c>
      <c r="L12" s="1">
        <v>3431.5</v>
      </c>
      <c r="M12" s="1">
        <v>171.6</v>
      </c>
      <c r="N12" s="1">
        <v>85.8</v>
      </c>
      <c r="O12">
        <v>509</v>
      </c>
    </row>
    <row r="13" spans="1:15" x14ac:dyDescent="0.25">
      <c r="A13" s="1">
        <v>35.031999999999996</v>
      </c>
      <c r="B13" s="1" t="s">
        <v>15</v>
      </c>
      <c r="C13" s="1" t="s">
        <v>16</v>
      </c>
      <c r="D13">
        <v>500</v>
      </c>
      <c r="E13">
        <v>500</v>
      </c>
      <c r="F13">
        <v>500</v>
      </c>
      <c r="G13" s="1">
        <v>8144.4849999999997</v>
      </c>
      <c r="H13" s="1">
        <v>3.5999999999999997E-2</v>
      </c>
      <c r="I13" s="2">
        <v>46031</v>
      </c>
      <c r="J13" s="1">
        <v>1.004</v>
      </c>
      <c r="K13" s="1">
        <v>134594.20000000001</v>
      </c>
      <c r="L13" s="1">
        <v>3547.1</v>
      </c>
      <c r="M13" s="1">
        <v>178.4</v>
      </c>
      <c r="N13" s="1">
        <v>88.7</v>
      </c>
      <c r="O13">
        <v>509</v>
      </c>
    </row>
    <row r="14" spans="1:15" x14ac:dyDescent="0.25">
      <c r="A14" s="1">
        <v>36.034999999999997</v>
      </c>
      <c r="B14" s="1" t="s">
        <v>15</v>
      </c>
      <c r="C14" s="1" t="s">
        <v>16</v>
      </c>
      <c r="D14">
        <v>500</v>
      </c>
      <c r="E14">
        <v>500</v>
      </c>
      <c r="F14">
        <v>500</v>
      </c>
      <c r="G14" s="1">
        <v>8164.576</v>
      </c>
      <c r="H14" s="1">
        <v>3.5799999999999998E-2</v>
      </c>
      <c r="I14" s="2">
        <v>46031</v>
      </c>
      <c r="J14" s="1">
        <v>1.002</v>
      </c>
      <c r="K14" s="1">
        <v>134881.60000000001</v>
      </c>
      <c r="L14" s="1">
        <v>3552</v>
      </c>
      <c r="M14" s="1">
        <v>177.6</v>
      </c>
      <c r="N14" s="1">
        <v>88.8</v>
      </c>
      <c r="O14">
        <v>509</v>
      </c>
    </row>
    <row r="15" spans="1:15" x14ac:dyDescent="0.25">
      <c r="A15" s="1">
        <v>37.042000000000002</v>
      </c>
      <c r="B15" s="1" t="s">
        <v>15</v>
      </c>
      <c r="C15" s="1" t="s">
        <v>16</v>
      </c>
      <c r="D15">
        <v>500</v>
      </c>
      <c r="E15">
        <v>500</v>
      </c>
      <c r="F15">
        <v>500</v>
      </c>
      <c r="G15" s="1">
        <v>8158.23</v>
      </c>
      <c r="H15" s="1">
        <v>3.6400000000000002E-2</v>
      </c>
      <c r="I15" s="2">
        <v>46031</v>
      </c>
      <c r="J15" s="1">
        <v>1.0069999999999999</v>
      </c>
      <c r="K15" s="1">
        <v>134702.6</v>
      </c>
      <c r="L15" s="1">
        <v>3534.5</v>
      </c>
      <c r="M15" s="1">
        <v>175.7</v>
      </c>
      <c r="N15" s="1">
        <v>88.4</v>
      </c>
      <c r="O15">
        <v>509</v>
      </c>
    </row>
    <row r="16" spans="1:15" x14ac:dyDescent="0.25">
      <c r="A16" s="1">
        <v>38.052</v>
      </c>
      <c r="B16" s="1" t="s">
        <v>15</v>
      </c>
      <c r="C16" s="1" t="s">
        <v>16</v>
      </c>
      <c r="D16">
        <v>500</v>
      </c>
      <c r="E16">
        <v>500</v>
      </c>
      <c r="F16">
        <v>500</v>
      </c>
      <c r="G16" s="1">
        <v>8149.8950000000004</v>
      </c>
      <c r="H16" s="1">
        <v>3.6299999999999999E-2</v>
      </c>
      <c r="I16" s="2">
        <v>46031</v>
      </c>
      <c r="J16" s="1">
        <v>1.01</v>
      </c>
      <c r="K16" s="1">
        <v>134675.6</v>
      </c>
      <c r="L16" s="1">
        <v>3562.8</v>
      </c>
      <c r="M16" s="1">
        <v>178.1</v>
      </c>
      <c r="N16" s="1">
        <v>89.1</v>
      </c>
      <c r="O16">
        <v>509</v>
      </c>
    </row>
    <row r="17" spans="1:15" x14ac:dyDescent="0.25">
      <c r="A17" s="1">
        <v>39.061</v>
      </c>
      <c r="B17" s="1" t="s">
        <v>15</v>
      </c>
      <c r="C17" s="1" t="s">
        <v>16</v>
      </c>
      <c r="D17">
        <v>500</v>
      </c>
      <c r="E17">
        <v>500</v>
      </c>
      <c r="F17">
        <v>500</v>
      </c>
      <c r="G17" s="1">
        <v>8117.4110000000001</v>
      </c>
      <c r="H17" s="1">
        <v>3.5999999999999997E-2</v>
      </c>
      <c r="I17" s="2">
        <v>46031</v>
      </c>
      <c r="J17" s="1">
        <v>1.0089999999999999</v>
      </c>
      <c r="K17" s="1">
        <v>134033.4</v>
      </c>
      <c r="L17" s="1">
        <v>3487.9</v>
      </c>
      <c r="M17" s="1">
        <v>174.4</v>
      </c>
      <c r="N17" s="1">
        <v>87.2</v>
      </c>
      <c r="O17">
        <v>509</v>
      </c>
    </row>
    <row r="18" spans="1:15" x14ac:dyDescent="0.25">
      <c r="A18" s="1">
        <v>40.061999999999998</v>
      </c>
      <c r="B18" s="1" t="s">
        <v>15</v>
      </c>
      <c r="C18" s="1" t="s">
        <v>16</v>
      </c>
      <c r="D18">
        <v>500</v>
      </c>
      <c r="E18">
        <v>500</v>
      </c>
      <c r="F18">
        <v>500</v>
      </c>
      <c r="G18" s="1">
        <v>8156.0619999999999</v>
      </c>
      <c r="H18" s="1">
        <v>3.6299999999999999E-2</v>
      </c>
      <c r="I18" s="2">
        <v>46031</v>
      </c>
      <c r="J18" s="1">
        <v>1.0009999999999999</v>
      </c>
      <c r="K18" s="1">
        <v>134755.9</v>
      </c>
      <c r="L18" s="1">
        <v>3557.4</v>
      </c>
      <c r="M18" s="1">
        <v>177.9</v>
      </c>
      <c r="N18" s="1">
        <v>88.9</v>
      </c>
      <c r="O18">
        <v>509</v>
      </c>
    </row>
    <row r="19" spans="1:15" x14ac:dyDescent="0.25">
      <c r="A19" s="1">
        <v>41.067</v>
      </c>
      <c r="B19" s="1" t="s">
        <v>15</v>
      </c>
      <c r="C19" s="1" t="s">
        <v>16</v>
      </c>
      <c r="D19">
        <v>500</v>
      </c>
      <c r="E19">
        <v>500</v>
      </c>
      <c r="F19">
        <v>500</v>
      </c>
      <c r="G19" s="1">
        <v>8163.4470000000001</v>
      </c>
      <c r="H19" s="1">
        <v>3.7100000000000001E-2</v>
      </c>
      <c r="I19" s="2">
        <v>46031</v>
      </c>
      <c r="J19" s="1">
        <v>1.0049999999999999</v>
      </c>
      <c r="K19" s="1">
        <v>134966.1</v>
      </c>
      <c r="L19" s="1">
        <v>3542.8</v>
      </c>
      <c r="M19" s="1">
        <v>180.1</v>
      </c>
      <c r="N19" s="1">
        <v>88.6</v>
      </c>
      <c r="O19">
        <v>509</v>
      </c>
    </row>
    <row r="20" spans="1:15" x14ac:dyDescent="0.25">
      <c r="A20" s="1">
        <v>42.075000000000003</v>
      </c>
      <c r="B20" s="1" t="s">
        <v>15</v>
      </c>
      <c r="C20" s="1" t="s">
        <v>16</v>
      </c>
      <c r="D20">
        <v>500</v>
      </c>
      <c r="E20">
        <v>500</v>
      </c>
      <c r="F20">
        <v>500</v>
      </c>
      <c r="G20" s="1">
        <v>8147.1009999999997</v>
      </c>
      <c r="H20" s="1">
        <v>3.85E-2</v>
      </c>
      <c r="I20" s="2">
        <v>46031</v>
      </c>
      <c r="J20" s="1">
        <v>1.008</v>
      </c>
      <c r="K20" s="1">
        <v>134646.9</v>
      </c>
      <c r="L20" s="1">
        <v>3571.1</v>
      </c>
      <c r="M20" s="1">
        <v>178.6</v>
      </c>
      <c r="N20" s="1">
        <v>89.3</v>
      </c>
      <c r="O20">
        <v>509</v>
      </c>
    </row>
    <row r="21" spans="1:15" x14ac:dyDescent="0.25">
      <c r="A21" s="1">
        <v>43.076999999999998</v>
      </c>
      <c r="B21" s="1" t="s">
        <v>15</v>
      </c>
      <c r="C21" s="1" t="s">
        <v>16</v>
      </c>
      <c r="D21">
        <v>500</v>
      </c>
      <c r="E21">
        <v>500</v>
      </c>
      <c r="F21">
        <v>500</v>
      </c>
      <c r="G21" s="1">
        <v>8177.2389999999996</v>
      </c>
      <c r="H21" s="1">
        <v>3.78E-2</v>
      </c>
      <c r="I21" s="2">
        <v>46031</v>
      </c>
      <c r="J21" s="1">
        <v>1.002</v>
      </c>
      <c r="K21" s="1">
        <v>135002.79999999999</v>
      </c>
      <c r="L21" s="1">
        <v>3553.2</v>
      </c>
      <c r="M21" s="1">
        <v>175.7</v>
      </c>
      <c r="N21" s="1">
        <v>88.8</v>
      </c>
      <c r="O21">
        <v>509</v>
      </c>
    </row>
    <row r="22" spans="1:15" x14ac:dyDescent="0.25">
      <c r="A22" s="1">
        <v>44.079000000000001</v>
      </c>
      <c r="B22" s="1" t="s">
        <v>15</v>
      </c>
      <c r="C22" s="1" t="s">
        <v>16</v>
      </c>
      <c r="D22">
        <v>500</v>
      </c>
      <c r="E22">
        <v>500</v>
      </c>
      <c r="F22">
        <v>500</v>
      </c>
      <c r="G22" s="1">
        <v>8152.43</v>
      </c>
      <c r="H22" s="1">
        <v>3.6400000000000002E-2</v>
      </c>
      <c r="I22" s="2">
        <v>46062</v>
      </c>
      <c r="J22" s="1">
        <v>1.002</v>
      </c>
      <c r="K22" s="1">
        <v>134609.9</v>
      </c>
      <c r="L22" s="1">
        <v>3513.3</v>
      </c>
      <c r="M22" s="1">
        <v>175.7</v>
      </c>
      <c r="N22" s="1">
        <v>87.8</v>
      </c>
      <c r="O22">
        <v>509</v>
      </c>
    </row>
    <row r="23" spans="1:15" x14ac:dyDescent="0.25">
      <c r="A23" s="1">
        <v>45.087000000000003</v>
      </c>
      <c r="B23" s="1" t="s">
        <v>15</v>
      </c>
      <c r="C23" s="1" t="s">
        <v>16</v>
      </c>
      <c r="D23">
        <v>500</v>
      </c>
      <c r="E23">
        <v>500</v>
      </c>
      <c r="F23">
        <v>500</v>
      </c>
      <c r="G23" s="1">
        <v>8158.5630000000001</v>
      </c>
      <c r="H23" s="1">
        <v>3.6200000000000003E-2</v>
      </c>
      <c r="I23" s="2">
        <v>46062</v>
      </c>
      <c r="J23" s="1">
        <v>1.0089999999999999</v>
      </c>
      <c r="K23" s="1">
        <v>134783.9</v>
      </c>
      <c r="L23" s="1">
        <v>3569.6</v>
      </c>
      <c r="M23" s="1">
        <v>177.5</v>
      </c>
      <c r="N23" s="1">
        <v>89.2</v>
      </c>
      <c r="O23">
        <v>509</v>
      </c>
    </row>
    <row r="24" spans="1:15" x14ac:dyDescent="0.25">
      <c r="A24" s="1">
        <v>46.088999999999999</v>
      </c>
      <c r="B24" s="1" t="s">
        <v>15</v>
      </c>
      <c r="C24" s="1" t="s">
        <v>16</v>
      </c>
      <c r="D24">
        <v>500</v>
      </c>
      <c r="E24">
        <v>500</v>
      </c>
      <c r="F24">
        <v>500</v>
      </c>
      <c r="G24" s="1">
        <v>8176.875</v>
      </c>
      <c r="H24" s="1">
        <v>3.7100000000000001E-2</v>
      </c>
      <c r="I24" s="2">
        <v>46090</v>
      </c>
      <c r="J24" s="1">
        <v>1.002</v>
      </c>
      <c r="K24" s="1">
        <v>135159</v>
      </c>
      <c r="L24" s="1">
        <v>3593.4</v>
      </c>
      <c r="M24" s="1">
        <v>179.7</v>
      </c>
      <c r="N24" s="1">
        <v>89.8</v>
      </c>
      <c r="O24">
        <v>509</v>
      </c>
    </row>
    <row r="25" spans="1:15" x14ac:dyDescent="0.25">
      <c r="A25" s="1">
        <v>47.09</v>
      </c>
      <c r="B25" s="1" t="s">
        <v>15</v>
      </c>
      <c r="C25" s="1" t="s">
        <v>16</v>
      </c>
      <c r="D25">
        <v>500</v>
      </c>
      <c r="E25">
        <v>500</v>
      </c>
      <c r="F25">
        <v>500</v>
      </c>
      <c r="G25" s="1">
        <v>8189.232</v>
      </c>
      <c r="H25" s="1">
        <v>3.49E-2</v>
      </c>
      <c r="I25" s="2">
        <v>46062</v>
      </c>
      <c r="J25" s="1">
        <v>1.0009999999999999</v>
      </c>
      <c r="K25" s="1">
        <v>135277.20000000001</v>
      </c>
      <c r="L25" s="1">
        <v>3556.2</v>
      </c>
      <c r="M25" s="1">
        <v>177.8</v>
      </c>
      <c r="N25" s="1">
        <v>88.9</v>
      </c>
      <c r="O25">
        <v>509</v>
      </c>
    </row>
    <row r="26" spans="1:15" x14ac:dyDescent="0.25">
      <c r="A26" s="1">
        <v>48.1</v>
      </c>
      <c r="B26" s="1" t="s">
        <v>15</v>
      </c>
      <c r="C26" s="1" t="s">
        <v>16</v>
      </c>
      <c r="D26">
        <v>500</v>
      </c>
      <c r="E26">
        <v>500</v>
      </c>
      <c r="F26">
        <v>500</v>
      </c>
      <c r="G26" s="1">
        <v>8162.0420000000004</v>
      </c>
      <c r="H26" s="1">
        <v>3.6700000000000003E-2</v>
      </c>
      <c r="I26" s="2">
        <v>46090</v>
      </c>
      <c r="J26" s="1">
        <v>1.01</v>
      </c>
      <c r="K26" s="1">
        <v>134907.9</v>
      </c>
      <c r="L26" s="1">
        <v>3565.5</v>
      </c>
      <c r="M26" s="1">
        <v>179.3</v>
      </c>
      <c r="N26" s="1">
        <v>89.1</v>
      </c>
      <c r="O26">
        <v>509</v>
      </c>
    </row>
    <row r="27" spans="1:15" x14ac:dyDescent="0.25">
      <c r="A27" s="1">
        <v>49.107999999999997</v>
      </c>
      <c r="B27" s="1" t="s">
        <v>15</v>
      </c>
      <c r="C27" s="1" t="s">
        <v>16</v>
      </c>
      <c r="D27">
        <v>500</v>
      </c>
      <c r="E27">
        <v>500</v>
      </c>
      <c r="F27">
        <v>500</v>
      </c>
      <c r="G27" s="1">
        <v>8133.0860000000002</v>
      </c>
      <c r="H27" s="1">
        <v>3.61E-2</v>
      </c>
      <c r="I27" s="2">
        <v>46090</v>
      </c>
      <c r="J27" s="1">
        <v>1.008</v>
      </c>
      <c r="K27" s="1">
        <v>134265.9</v>
      </c>
      <c r="L27" s="1">
        <v>3492.6</v>
      </c>
      <c r="M27" s="1">
        <v>174.6</v>
      </c>
      <c r="N27" s="1">
        <v>87.3</v>
      </c>
      <c r="O27">
        <v>509</v>
      </c>
    </row>
    <row r="28" spans="1:15" x14ac:dyDescent="0.25">
      <c r="A28" s="1">
        <v>50.113999999999997</v>
      </c>
      <c r="B28" s="1" t="s">
        <v>15</v>
      </c>
      <c r="C28" s="1" t="s">
        <v>16</v>
      </c>
      <c r="D28">
        <v>500</v>
      </c>
      <c r="E28">
        <v>500</v>
      </c>
      <c r="F28">
        <v>500</v>
      </c>
      <c r="G28" s="1">
        <v>8164.0969999999998</v>
      </c>
      <c r="H28" s="1">
        <v>3.5099999999999999E-2</v>
      </c>
      <c r="I28" s="2">
        <v>46151</v>
      </c>
      <c r="J28" s="1">
        <v>1.006</v>
      </c>
      <c r="K28" s="1">
        <v>134851.20000000001</v>
      </c>
      <c r="L28" s="1">
        <v>3538.8</v>
      </c>
      <c r="M28" s="1">
        <v>176.9</v>
      </c>
      <c r="N28" s="1">
        <v>88.5</v>
      </c>
      <c r="O28">
        <v>509</v>
      </c>
    </row>
    <row r="29" spans="1:15" x14ac:dyDescent="0.25">
      <c r="A29" s="1">
        <v>51.119</v>
      </c>
      <c r="B29" s="1" t="s">
        <v>15</v>
      </c>
      <c r="C29" s="1" t="s">
        <v>16</v>
      </c>
      <c r="D29">
        <v>500</v>
      </c>
      <c r="E29">
        <v>500</v>
      </c>
      <c r="F29">
        <v>500</v>
      </c>
      <c r="G29" s="1">
        <v>8163.0309999999999</v>
      </c>
      <c r="H29" s="1">
        <v>3.5400000000000001E-2</v>
      </c>
      <c r="I29" s="2">
        <v>46151</v>
      </c>
      <c r="J29" s="1">
        <v>1.0049999999999999</v>
      </c>
      <c r="K29" s="1">
        <v>134860.6</v>
      </c>
      <c r="L29" s="1">
        <v>3580.7</v>
      </c>
      <c r="M29" s="1">
        <v>178</v>
      </c>
      <c r="N29" s="1">
        <v>89.5</v>
      </c>
      <c r="O29">
        <v>509</v>
      </c>
    </row>
    <row r="30" spans="1:15" x14ac:dyDescent="0.25">
      <c r="A30" s="1">
        <v>52.124000000000002</v>
      </c>
      <c r="B30" s="1" t="s">
        <v>15</v>
      </c>
      <c r="C30" s="1" t="s">
        <v>16</v>
      </c>
      <c r="D30">
        <v>500</v>
      </c>
      <c r="E30">
        <v>500</v>
      </c>
      <c r="F30">
        <v>500</v>
      </c>
      <c r="G30" s="1">
        <v>8158.9359999999997</v>
      </c>
      <c r="H30" s="1">
        <v>3.7600000000000001E-2</v>
      </c>
      <c r="I30" s="2">
        <v>46121</v>
      </c>
      <c r="J30" s="1">
        <v>1.0049999999999999</v>
      </c>
      <c r="K30" s="1">
        <v>134803.1</v>
      </c>
      <c r="L30" s="1">
        <v>3583.3</v>
      </c>
      <c r="M30" s="1">
        <v>177.2</v>
      </c>
      <c r="N30" s="1">
        <v>89.6</v>
      </c>
      <c r="O30">
        <v>509</v>
      </c>
    </row>
    <row r="31" spans="1:15" x14ac:dyDescent="0.25">
      <c r="A31" s="1">
        <v>53.127000000000002</v>
      </c>
      <c r="B31" s="1" t="s">
        <v>15</v>
      </c>
      <c r="C31" s="1" t="s">
        <v>16</v>
      </c>
      <c r="D31">
        <v>500</v>
      </c>
      <c r="E31">
        <v>500</v>
      </c>
      <c r="F31">
        <v>500</v>
      </c>
      <c r="G31" s="1">
        <v>8185.723</v>
      </c>
      <c r="H31" s="1">
        <v>3.7100000000000001E-2</v>
      </c>
      <c r="I31" s="2">
        <v>46151</v>
      </c>
      <c r="J31" s="1">
        <v>1.0029999999999999</v>
      </c>
      <c r="K31" s="1">
        <v>135305.79999999999</v>
      </c>
      <c r="L31" s="1">
        <v>3590.2</v>
      </c>
      <c r="M31" s="1">
        <v>180.5</v>
      </c>
      <c r="N31" s="1">
        <v>89.8</v>
      </c>
      <c r="O31">
        <v>509</v>
      </c>
    </row>
    <row r="32" spans="1:15" x14ac:dyDescent="0.25">
      <c r="A32" s="1">
        <v>54.137999999999998</v>
      </c>
      <c r="B32" s="1" t="s">
        <v>15</v>
      </c>
      <c r="C32" s="1" t="s">
        <v>16</v>
      </c>
      <c r="D32">
        <v>500</v>
      </c>
      <c r="E32">
        <v>500</v>
      </c>
      <c r="F32">
        <v>500</v>
      </c>
      <c r="G32" s="1">
        <v>8147.2380000000003</v>
      </c>
      <c r="H32" s="1">
        <v>3.5400000000000001E-2</v>
      </c>
      <c r="I32" s="2">
        <v>46062</v>
      </c>
      <c r="J32" s="1">
        <v>1.012</v>
      </c>
      <c r="K32" s="1">
        <v>134470.9</v>
      </c>
      <c r="L32" s="1">
        <v>3518.2</v>
      </c>
      <c r="M32" s="1">
        <v>173.9</v>
      </c>
      <c r="N32" s="1">
        <v>88</v>
      </c>
      <c r="O32">
        <v>509</v>
      </c>
    </row>
    <row r="33" spans="1:15" x14ac:dyDescent="0.25">
      <c r="A33" s="1">
        <v>55.148000000000003</v>
      </c>
      <c r="B33" s="1" t="s">
        <v>15</v>
      </c>
      <c r="C33" s="1" t="s">
        <v>16</v>
      </c>
      <c r="D33">
        <v>500</v>
      </c>
      <c r="E33">
        <v>500</v>
      </c>
      <c r="F33">
        <v>500</v>
      </c>
      <c r="G33" s="1">
        <v>8161.6239999999998</v>
      </c>
      <c r="H33" s="1">
        <v>3.5000000000000003E-2</v>
      </c>
      <c r="I33" s="2">
        <v>46062</v>
      </c>
      <c r="J33" s="1">
        <v>1.0089999999999999</v>
      </c>
      <c r="K33" s="1">
        <v>134873.4</v>
      </c>
      <c r="L33" s="1">
        <v>3567.1</v>
      </c>
      <c r="M33" s="1">
        <v>178.4</v>
      </c>
      <c r="N33" s="1">
        <v>89.2</v>
      </c>
      <c r="O33">
        <v>509</v>
      </c>
    </row>
    <row r="34" spans="1:15" x14ac:dyDescent="0.25">
      <c r="A34" s="1">
        <v>56.154000000000003</v>
      </c>
      <c r="B34" s="1" t="s">
        <v>15</v>
      </c>
      <c r="C34" s="1" t="s">
        <v>16</v>
      </c>
      <c r="D34">
        <v>500</v>
      </c>
      <c r="E34">
        <v>500</v>
      </c>
      <c r="F34">
        <v>500</v>
      </c>
      <c r="G34" s="1">
        <v>8170.558</v>
      </c>
      <c r="H34" s="1">
        <v>3.49E-2</v>
      </c>
      <c r="I34" s="2">
        <v>46090</v>
      </c>
      <c r="J34" s="1">
        <v>1.006</v>
      </c>
      <c r="K34" s="1">
        <v>135028.4</v>
      </c>
      <c r="L34" s="1">
        <v>3578.8</v>
      </c>
      <c r="M34" s="1">
        <v>178.9</v>
      </c>
      <c r="N34" s="1">
        <v>89.5</v>
      </c>
      <c r="O34">
        <v>509</v>
      </c>
    </row>
    <row r="35" spans="1:15" x14ac:dyDescent="0.25">
      <c r="A35" s="1">
        <v>57.155999999999999</v>
      </c>
      <c r="B35" s="1" t="s">
        <v>15</v>
      </c>
      <c r="C35" s="1" t="s">
        <v>16</v>
      </c>
      <c r="D35">
        <v>500</v>
      </c>
      <c r="E35">
        <v>500</v>
      </c>
      <c r="F35">
        <v>500</v>
      </c>
      <c r="G35" s="1">
        <v>8158.8779999999997</v>
      </c>
      <c r="H35" s="1">
        <v>3.73E-2</v>
      </c>
      <c r="I35" s="2">
        <v>46062</v>
      </c>
      <c r="J35" s="1">
        <v>1.0029999999999999</v>
      </c>
      <c r="K35" s="1">
        <v>134857.79999999999</v>
      </c>
      <c r="L35" s="1">
        <v>3589.8</v>
      </c>
      <c r="M35" s="1">
        <v>179.5</v>
      </c>
      <c r="N35" s="1">
        <v>89.7</v>
      </c>
      <c r="O35">
        <v>509</v>
      </c>
    </row>
    <row r="36" spans="1:15" x14ac:dyDescent="0.25">
      <c r="A36" s="1">
        <v>58.158000000000001</v>
      </c>
      <c r="B36" s="1" t="s">
        <v>15</v>
      </c>
      <c r="C36" s="1" t="s">
        <v>16</v>
      </c>
      <c r="D36">
        <v>500</v>
      </c>
      <c r="E36">
        <v>500</v>
      </c>
      <c r="F36">
        <v>500</v>
      </c>
      <c r="G36" s="1">
        <v>8200.0820000000003</v>
      </c>
      <c r="H36" s="1">
        <v>3.4099999999999998E-2</v>
      </c>
      <c r="I36" s="2">
        <v>46062</v>
      </c>
      <c r="J36" s="1">
        <v>1.002</v>
      </c>
      <c r="K36" s="1">
        <v>135464.1</v>
      </c>
      <c r="L36" s="1">
        <v>3593.9</v>
      </c>
      <c r="M36" s="1">
        <v>178.7</v>
      </c>
      <c r="N36" s="1">
        <v>89.8</v>
      </c>
      <c r="O36">
        <v>509</v>
      </c>
    </row>
    <row r="37" spans="1:15" x14ac:dyDescent="0.25">
      <c r="A37" s="1">
        <v>59.16</v>
      </c>
      <c r="B37" s="1" t="s">
        <v>15</v>
      </c>
      <c r="C37" s="1" t="s">
        <v>16</v>
      </c>
      <c r="D37">
        <v>500</v>
      </c>
      <c r="E37">
        <v>500</v>
      </c>
      <c r="F37">
        <v>500</v>
      </c>
      <c r="G37" s="1">
        <v>8149.5680000000002</v>
      </c>
      <c r="H37" s="1">
        <v>3.6200000000000003E-2</v>
      </c>
      <c r="I37" s="2">
        <v>46062</v>
      </c>
      <c r="J37" s="1">
        <v>1.002</v>
      </c>
      <c r="K37" s="1">
        <v>134740.5</v>
      </c>
      <c r="L37" s="1">
        <v>3594.5</v>
      </c>
      <c r="M37" s="1">
        <v>179.7</v>
      </c>
      <c r="N37" s="1">
        <v>89.9</v>
      </c>
      <c r="O37">
        <v>509</v>
      </c>
    </row>
    <row r="38" spans="1:15" x14ac:dyDescent="0.25">
      <c r="A38" s="1">
        <v>60.161999999999999</v>
      </c>
      <c r="B38" s="1" t="s">
        <v>15</v>
      </c>
      <c r="C38" s="1" t="s">
        <v>16</v>
      </c>
      <c r="D38">
        <v>500</v>
      </c>
      <c r="E38">
        <v>500</v>
      </c>
      <c r="F38">
        <v>500</v>
      </c>
      <c r="G38" s="1">
        <v>8097.451</v>
      </c>
      <c r="H38" s="1">
        <v>5.0299999999999997E-2</v>
      </c>
      <c r="I38" s="2">
        <v>46031</v>
      </c>
      <c r="J38" s="1">
        <v>1.002</v>
      </c>
      <c r="K38" s="1">
        <v>133798</v>
      </c>
      <c r="L38" s="1">
        <v>3511.5</v>
      </c>
      <c r="M38" s="1">
        <v>176.6</v>
      </c>
      <c r="N38" s="1">
        <v>87.8</v>
      </c>
      <c r="O38">
        <v>509</v>
      </c>
    </row>
    <row r="39" spans="1:15" x14ac:dyDescent="0.25">
      <c r="A39" s="1">
        <v>61.164000000000001</v>
      </c>
      <c r="B39" s="1" t="s">
        <v>15</v>
      </c>
      <c r="C39" s="1" t="s">
        <v>16</v>
      </c>
      <c r="D39">
        <v>500</v>
      </c>
      <c r="E39">
        <v>500</v>
      </c>
      <c r="F39">
        <v>500</v>
      </c>
      <c r="G39" s="1">
        <v>8155.9279999999999</v>
      </c>
      <c r="H39" s="1">
        <v>3.7600000000000001E-2</v>
      </c>
      <c r="I39" s="2">
        <v>46274</v>
      </c>
      <c r="J39" s="1">
        <v>1.002</v>
      </c>
      <c r="K39" s="1">
        <v>134621.70000000001</v>
      </c>
      <c r="L39" s="1">
        <v>3592</v>
      </c>
      <c r="M39" s="1">
        <v>174.6</v>
      </c>
      <c r="N39" s="1">
        <v>89.8</v>
      </c>
      <c r="O39">
        <v>509</v>
      </c>
    </row>
    <row r="40" spans="1:15" x14ac:dyDescent="0.25">
      <c r="A40" s="1">
        <v>62.173000000000002</v>
      </c>
      <c r="B40" s="1" t="s">
        <v>15</v>
      </c>
      <c r="C40" s="1" t="s">
        <v>16</v>
      </c>
      <c r="D40">
        <v>500</v>
      </c>
      <c r="E40">
        <v>500</v>
      </c>
      <c r="F40">
        <v>500</v>
      </c>
      <c r="G40" s="1">
        <v>8176.34</v>
      </c>
      <c r="H40" s="1">
        <v>3.6400000000000002E-2</v>
      </c>
      <c r="I40" s="2">
        <v>46274</v>
      </c>
      <c r="J40" s="1">
        <v>1.0089999999999999</v>
      </c>
      <c r="K40" s="1">
        <v>135086.5</v>
      </c>
      <c r="L40" s="1">
        <v>3567.4</v>
      </c>
      <c r="M40" s="1">
        <v>178.4</v>
      </c>
      <c r="N40" s="1">
        <v>89.2</v>
      </c>
      <c r="O40">
        <v>509</v>
      </c>
    </row>
    <row r="41" spans="1:15" x14ac:dyDescent="0.25">
      <c r="A41" s="1">
        <v>63.177</v>
      </c>
      <c r="B41" s="1" t="s">
        <v>15</v>
      </c>
      <c r="C41" s="1" t="s">
        <v>16</v>
      </c>
      <c r="D41">
        <v>500</v>
      </c>
      <c r="E41">
        <v>500</v>
      </c>
      <c r="F41">
        <v>500</v>
      </c>
      <c r="G41" s="1">
        <v>8167.7179999999998</v>
      </c>
      <c r="H41" s="1">
        <v>3.4299999999999997E-2</v>
      </c>
      <c r="I41" s="2">
        <v>46243</v>
      </c>
      <c r="J41" s="1">
        <v>1.004</v>
      </c>
      <c r="K41" s="1">
        <v>134926.70000000001</v>
      </c>
      <c r="L41" s="1">
        <v>3546</v>
      </c>
      <c r="M41" s="1">
        <v>177.3</v>
      </c>
      <c r="N41" s="1">
        <v>88.6</v>
      </c>
      <c r="O41">
        <v>509</v>
      </c>
    </row>
    <row r="42" spans="1:15" x14ac:dyDescent="0.25">
      <c r="A42" s="1">
        <v>64.186000000000007</v>
      </c>
      <c r="B42" s="1" t="s">
        <v>15</v>
      </c>
      <c r="C42" s="1" t="s">
        <v>16</v>
      </c>
      <c r="D42">
        <v>500</v>
      </c>
      <c r="E42">
        <v>500</v>
      </c>
      <c r="F42">
        <v>500</v>
      </c>
      <c r="G42" s="1">
        <v>8119.3959999999997</v>
      </c>
      <c r="H42" s="1">
        <v>3.6299999999999999E-2</v>
      </c>
      <c r="I42" s="2">
        <v>46274</v>
      </c>
      <c r="J42" s="1">
        <v>1.008</v>
      </c>
      <c r="K42" s="1">
        <v>134047.9</v>
      </c>
      <c r="L42" s="1">
        <v>3490.9</v>
      </c>
      <c r="M42" s="1">
        <v>174.5</v>
      </c>
      <c r="N42" s="1">
        <v>87.3</v>
      </c>
      <c r="O42">
        <v>509</v>
      </c>
    </row>
    <row r="43" spans="1:15" x14ac:dyDescent="0.25">
      <c r="A43" s="1">
        <v>65.191999999999993</v>
      </c>
      <c r="B43" s="1" t="s">
        <v>15</v>
      </c>
      <c r="C43" s="1" t="s">
        <v>16</v>
      </c>
      <c r="D43">
        <v>500</v>
      </c>
      <c r="E43">
        <v>500</v>
      </c>
      <c r="F43">
        <v>500</v>
      </c>
      <c r="G43" s="1">
        <v>8167.1139999999996</v>
      </c>
      <c r="H43" s="1">
        <v>3.6400000000000002E-2</v>
      </c>
      <c r="I43" s="2">
        <v>46031</v>
      </c>
      <c r="J43" s="1">
        <v>1.0069999999999999</v>
      </c>
      <c r="K43" s="1">
        <v>134915.29999999999</v>
      </c>
      <c r="L43" s="1">
        <v>3576</v>
      </c>
      <c r="M43" s="1">
        <v>177.8</v>
      </c>
      <c r="N43" s="1">
        <v>89.4</v>
      </c>
      <c r="O43">
        <v>509</v>
      </c>
    </row>
    <row r="44" spans="1:15" x14ac:dyDescent="0.25">
      <c r="A44" s="1">
        <v>66.198999999999998</v>
      </c>
      <c r="B44" s="1" t="s">
        <v>15</v>
      </c>
      <c r="C44" s="1" t="s">
        <v>16</v>
      </c>
      <c r="D44">
        <v>500</v>
      </c>
      <c r="E44">
        <v>500</v>
      </c>
      <c r="F44">
        <v>500</v>
      </c>
      <c r="G44" s="1">
        <v>8174.0929999999998</v>
      </c>
      <c r="H44" s="1">
        <v>3.5799999999999998E-2</v>
      </c>
      <c r="I44" s="2">
        <v>46031</v>
      </c>
      <c r="J44" s="1">
        <v>1.0069999999999999</v>
      </c>
      <c r="K44" s="1">
        <v>135076.20000000001</v>
      </c>
      <c r="L44" s="1">
        <v>3576.4</v>
      </c>
      <c r="M44" s="1">
        <v>178.8</v>
      </c>
      <c r="N44" s="1">
        <v>89.4</v>
      </c>
      <c r="O44">
        <v>509</v>
      </c>
    </row>
    <row r="45" spans="1:15" x14ac:dyDescent="0.25">
      <c r="A45" s="1">
        <v>67.201999999999998</v>
      </c>
      <c r="B45" s="1" t="s">
        <v>15</v>
      </c>
      <c r="C45" s="1" t="s">
        <v>16</v>
      </c>
      <c r="D45">
        <v>500</v>
      </c>
      <c r="E45">
        <v>500</v>
      </c>
      <c r="F45">
        <v>500</v>
      </c>
      <c r="G45" s="1">
        <v>8180.634</v>
      </c>
      <c r="H45" s="1">
        <v>3.5499999999999997E-2</v>
      </c>
      <c r="I45" s="2">
        <v>46031</v>
      </c>
      <c r="J45" s="1">
        <v>1.0029999999999999</v>
      </c>
      <c r="K45" s="1">
        <v>135207.79999999999</v>
      </c>
      <c r="L45" s="1">
        <v>3588.9</v>
      </c>
      <c r="M45" s="1">
        <v>179.4</v>
      </c>
      <c r="N45" s="1">
        <v>89.7</v>
      </c>
      <c r="O45">
        <v>509</v>
      </c>
    </row>
    <row r="46" spans="1:15" x14ac:dyDescent="0.25">
      <c r="A46" s="1">
        <v>68.203999999999994</v>
      </c>
      <c r="B46" s="1" t="s">
        <v>15</v>
      </c>
      <c r="C46" s="1" t="s">
        <v>16</v>
      </c>
      <c r="D46">
        <v>500</v>
      </c>
      <c r="E46">
        <v>500</v>
      </c>
      <c r="F46">
        <v>500</v>
      </c>
      <c r="G46" s="1">
        <v>8171.0510000000004</v>
      </c>
      <c r="H46" s="1">
        <v>3.6600000000000001E-2</v>
      </c>
      <c r="I46" s="2">
        <v>46031</v>
      </c>
      <c r="J46" s="1">
        <v>1.0009999999999999</v>
      </c>
      <c r="K46" s="1">
        <v>135068.5</v>
      </c>
      <c r="L46" s="1">
        <v>3594.7</v>
      </c>
      <c r="M46" s="1">
        <v>179.7</v>
      </c>
      <c r="N46" s="1">
        <v>89.9</v>
      </c>
      <c r="O46">
        <v>509</v>
      </c>
    </row>
    <row r="47" spans="1:15" x14ac:dyDescent="0.25">
      <c r="A47" s="1">
        <v>69.209999999999994</v>
      </c>
      <c r="B47" s="1" t="s">
        <v>15</v>
      </c>
      <c r="C47" s="1" t="s">
        <v>16</v>
      </c>
      <c r="D47">
        <v>500</v>
      </c>
      <c r="E47">
        <v>500</v>
      </c>
      <c r="F47">
        <v>500</v>
      </c>
      <c r="G47" s="1">
        <v>8175.3069999999998</v>
      </c>
      <c r="H47" s="1">
        <v>3.5999999999999997E-2</v>
      </c>
      <c r="I47" s="2">
        <v>46062</v>
      </c>
      <c r="J47" s="1">
        <v>1.006</v>
      </c>
      <c r="K47" s="1">
        <v>135065.5</v>
      </c>
      <c r="L47" s="1">
        <v>3578.7</v>
      </c>
      <c r="M47" s="1">
        <v>177.9</v>
      </c>
      <c r="N47" s="1">
        <v>89.5</v>
      </c>
      <c r="O47">
        <v>509</v>
      </c>
    </row>
    <row r="48" spans="1:15" x14ac:dyDescent="0.25">
      <c r="A48" s="1">
        <v>70.218000000000004</v>
      </c>
      <c r="B48" s="1" t="s">
        <v>15</v>
      </c>
      <c r="C48" s="1" t="s">
        <v>16</v>
      </c>
      <c r="D48">
        <v>500</v>
      </c>
      <c r="E48">
        <v>500</v>
      </c>
      <c r="F48">
        <v>500</v>
      </c>
      <c r="G48" s="1">
        <v>8177.2340000000004</v>
      </c>
      <c r="H48" s="1">
        <v>3.7100000000000001E-2</v>
      </c>
      <c r="I48" s="2">
        <v>46062</v>
      </c>
      <c r="J48" s="1">
        <v>1.008</v>
      </c>
      <c r="K48" s="1">
        <v>135114.79999999999</v>
      </c>
      <c r="L48" s="1">
        <v>3609.6</v>
      </c>
      <c r="M48" s="1">
        <v>178.5</v>
      </c>
      <c r="N48" s="1">
        <v>90.2</v>
      </c>
      <c r="O48">
        <v>509</v>
      </c>
    </row>
    <row r="49" spans="1:15" x14ac:dyDescent="0.25">
      <c r="A49" s="1">
        <v>71.221000000000004</v>
      </c>
      <c r="B49" s="1" t="s">
        <v>15</v>
      </c>
      <c r="C49" s="1" t="s">
        <v>16</v>
      </c>
      <c r="D49">
        <v>500</v>
      </c>
      <c r="E49">
        <v>500</v>
      </c>
      <c r="F49">
        <v>500</v>
      </c>
      <c r="G49" s="1">
        <v>8110.7730000000001</v>
      </c>
      <c r="H49" s="1">
        <v>3.6799999999999999E-2</v>
      </c>
      <c r="I49" s="2">
        <v>46062</v>
      </c>
      <c r="J49" s="1">
        <v>1.0029999999999999</v>
      </c>
      <c r="K49" s="1">
        <v>133914</v>
      </c>
      <c r="L49" s="1">
        <v>3470.5</v>
      </c>
      <c r="M49" s="1">
        <v>174.5</v>
      </c>
      <c r="N49" s="1">
        <v>86.8</v>
      </c>
      <c r="O49">
        <v>509</v>
      </c>
    </row>
    <row r="50" spans="1:15" x14ac:dyDescent="0.25">
      <c r="A50" s="1">
        <v>72.228999999999999</v>
      </c>
      <c r="B50" s="1" t="s">
        <v>15</v>
      </c>
      <c r="C50" s="1" t="s">
        <v>16</v>
      </c>
      <c r="D50">
        <v>500</v>
      </c>
      <c r="E50">
        <v>500</v>
      </c>
      <c r="F50">
        <v>500</v>
      </c>
      <c r="G50" s="1">
        <v>8160.2920000000004</v>
      </c>
      <c r="H50" s="1">
        <v>3.6499999999999998E-2</v>
      </c>
      <c r="I50" s="2">
        <v>46031</v>
      </c>
      <c r="J50" s="1">
        <v>1.0089999999999999</v>
      </c>
      <c r="K50" s="1">
        <v>134773.70000000001</v>
      </c>
      <c r="L50" s="1">
        <v>3529</v>
      </c>
      <c r="M50" s="1">
        <v>176.4</v>
      </c>
      <c r="N50" s="1">
        <v>88.2</v>
      </c>
      <c r="O50">
        <v>509</v>
      </c>
    </row>
    <row r="51" spans="1:15" x14ac:dyDescent="0.25">
      <c r="A51" s="1">
        <v>73.239999999999995</v>
      </c>
      <c r="B51" s="1" t="s">
        <v>15</v>
      </c>
      <c r="C51" s="1" t="s">
        <v>16</v>
      </c>
      <c r="D51">
        <v>500</v>
      </c>
      <c r="E51">
        <v>500</v>
      </c>
      <c r="F51">
        <v>500</v>
      </c>
      <c r="G51" s="1">
        <v>8174.3459999999995</v>
      </c>
      <c r="H51" s="1">
        <v>3.6700000000000003E-2</v>
      </c>
      <c r="I51" s="2">
        <v>46031</v>
      </c>
      <c r="J51" s="1">
        <v>1.0109999999999999</v>
      </c>
      <c r="K51" s="1">
        <v>134998.39999999999</v>
      </c>
      <c r="L51" s="1">
        <v>3560.9</v>
      </c>
      <c r="M51" s="1">
        <v>177.1</v>
      </c>
      <c r="N51" s="1">
        <v>89</v>
      </c>
      <c r="O51">
        <v>509</v>
      </c>
    </row>
    <row r="52" spans="1:15" x14ac:dyDescent="0.25">
      <c r="A52" s="1">
        <v>74.241</v>
      </c>
      <c r="B52" s="1" t="s">
        <v>15</v>
      </c>
      <c r="C52" s="1" t="s">
        <v>16</v>
      </c>
      <c r="D52">
        <v>500</v>
      </c>
      <c r="E52">
        <v>500</v>
      </c>
      <c r="F52">
        <v>500</v>
      </c>
      <c r="G52" s="1">
        <v>8152.6270000000004</v>
      </c>
      <c r="H52" s="1">
        <v>3.6999999999999998E-2</v>
      </c>
      <c r="I52" s="2">
        <v>46062</v>
      </c>
      <c r="J52" s="1">
        <v>1</v>
      </c>
      <c r="K52" s="1">
        <v>134665.79999999999</v>
      </c>
      <c r="L52" s="1">
        <v>3559</v>
      </c>
      <c r="M52" s="1">
        <v>176.9</v>
      </c>
      <c r="N52" s="1">
        <v>89</v>
      </c>
      <c r="O52">
        <v>509</v>
      </c>
    </row>
    <row r="53" spans="1:15" x14ac:dyDescent="0.25">
      <c r="A53" s="1">
        <v>75.245000000000005</v>
      </c>
      <c r="B53" s="1" t="s">
        <v>15</v>
      </c>
      <c r="C53" s="1" t="s">
        <v>16</v>
      </c>
      <c r="D53">
        <v>500</v>
      </c>
      <c r="E53">
        <v>500</v>
      </c>
      <c r="F53">
        <v>500</v>
      </c>
      <c r="G53" s="1">
        <v>8185.0330000000004</v>
      </c>
      <c r="H53" s="1">
        <v>3.73E-2</v>
      </c>
      <c r="I53" s="2">
        <v>46062</v>
      </c>
      <c r="J53" s="1">
        <v>1.004</v>
      </c>
      <c r="K53" s="1">
        <v>135267.70000000001</v>
      </c>
      <c r="L53" s="1">
        <v>3585.1</v>
      </c>
      <c r="M53" s="1">
        <v>179.3</v>
      </c>
      <c r="N53" s="1">
        <v>89.6</v>
      </c>
      <c r="O53">
        <v>509</v>
      </c>
    </row>
    <row r="54" spans="1:15" x14ac:dyDescent="0.25">
      <c r="A54" s="1">
        <v>76.254000000000005</v>
      </c>
      <c r="B54" s="1" t="s">
        <v>15</v>
      </c>
      <c r="C54" s="1" t="s">
        <v>16</v>
      </c>
      <c r="D54">
        <v>500</v>
      </c>
      <c r="E54">
        <v>500</v>
      </c>
      <c r="F54">
        <v>500</v>
      </c>
      <c r="G54" s="1">
        <v>8189.8819999999996</v>
      </c>
      <c r="H54" s="1">
        <v>3.6200000000000003E-2</v>
      </c>
      <c r="I54" s="2">
        <v>46062</v>
      </c>
      <c r="J54" s="1">
        <v>1.0089999999999999</v>
      </c>
      <c r="K54" s="1">
        <v>135327.20000000001</v>
      </c>
      <c r="L54" s="1">
        <v>3606.5</v>
      </c>
      <c r="M54" s="1">
        <v>179.3</v>
      </c>
      <c r="N54" s="1">
        <v>90.2</v>
      </c>
      <c r="O54">
        <v>509</v>
      </c>
    </row>
    <row r="55" spans="1:15" x14ac:dyDescent="0.25">
      <c r="A55" s="1">
        <v>77.263999999999996</v>
      </c>
      <c r="B55" s="1" t="s">
        <v>15</v>
      </c>
      <c r="C55" s="1" t="s">
        <v>16</v>
      </c>
      <c r="D55">
        <v>500</v>
      </c>
      <c r="E55">
        <v>500</v>
      </c>
      <c r="F55">
        <v>500</v>
      </c>
      <c r="G55" s="1">
        <v>8205.0290000000005</v>
      </c>
      <c r="H55" s="1">
        <v>3.4700000000000002E-2</v>
      </c>
      <c r="I55" s="2">
        <v>46031</v>
      </c>
      <c r="J55" s="1">
        <v>1.01</v>
      </c>
      <c r="K55" s="1">
        <v>135628.5</v>
      </c>
      <c r="L55" s="1">
        <v>3603.6</v>
      </c>
      <c r="M55" s="1">
        <v>180.2</v>
      </c>
      <c r="N55" s="1">
        <v>90.1</v>
      </c>
      <c r="O55">
        <v>509</v>
      </c>
    </row>
    <row r="56" spans="1:15" x14ac:dyDescent="0.25">
      <c r="A56" s="1">
        <v>78.265000000000001</v>
      </c>
      <c r="B56" s="1" t="s">
        <v>15</v>
      </c>
      <c r="C56" s="1" t="s">
        <v>16</v>
      </c>
      <c r="D56">
        <v>500</v>
      </c>
      <c r="E56">
        <v>500</v>
      </c>
      <c r="F56">
        <v>500</v>
      </c>
      <c r="G56" s="1">
        <v>8163.5630000000001</v>
      </c>
      <c r="H56" s="1">
        <v>3.6600000000000001E-2</v>
      </c>
      <c r="I56" s="2">
        <v>46031</v>
      </c>
      <c r="J56" s="1">
        <v>1.0009999999999999</v>
      </c>
      <c r="K56" s="1">
        <v>134949.1</v>
      </c>
      <c r="L56" s="1">
        <v>3597.6</v>
      </c>
      <c r="M56" s="1">
        <v>179.9</v>
      </c>
      <c r="N56" s="1">
        <v>89.9</v>
      </c>
      <c r="O56">
        <v>509</v>
      </c>
    </row>
    <row r="57" spans="1:15" x14ac:dyDescent="0.25">
      <c r="A57" s="1">
        <v>79.274000000000001</v>
      </c>
      <c r="B57" s="1" t="s">
        <v>15</v>
      </c>
      <c r="C57" s="1" t="s">
        <v>16</v>
      </c>
      <c r="D57">
        <v>500</v>
      </c>
      <c r="E57">
        <v>500</v>
      </c>
      <c r="F57">
        <v>500</v>
      </c>
      <c r="G57" s="1">
        <v>8193.5259999999998</v>
      </c>
      <c r="H57" s="1">
        <v>3.5900000000000001E-2</v>
      </c>
      <c r="I57" s="2">
        <v>46031</v>
      </c>
      <c r="J57" s="1">
        <v>1.0089999999999999</v>
      </c>
      <c r="K57" s="1">
        <v>135318.1</v>
      </c>
      <c r="L57" s="1">
        <v>3568.4</v>
      </c>
      <c r="M57" s="1">
        <v>177.4</v>
      </c>
      <c r="N57" s="1">
        <v>89.2</v>
      </c>
      <c r="O57">
        <v>509</v>
      </c>
    </row>
    <row r="58" spans="1:15" x14ac:dyDescent="0.25">
      <c r="A58" s="1">
        <v>80.277000000000001</v>
      </c>
      <c r="B58" s="1" t="s">
        <v>15</v>
      </c>
      <c r="C58" s="1" t="s">
        <v>16</v>
      </c>
      <c r="D58">
        <v>500</v>
      </c>
      <c r="E58">
        <v>500</v>
      </c>
      <c r="F58">
        <v>500</v>
      </c>
      <c r="G58" s="1">
        <v>8060.6360000000004</v>
      </c>
      <c r="H58" s="1">
        <v>3.7699999999999997E-2</v>
      </c>
      <c r="I58" s="2">
        <v>46031</v>
      </c>
      <c r="J58" s="1">
        <v>1.0029999999999999</v>
      </c>
      <c r="K58" s="1">
        <v>132931.70000000001</v>
      </c>
      <c r="L58" s="1">
        <v>3388.5</v>
      </c>
      <c r="M58" s="1">
        <v>169.4</v>
      </c>
      <c r="N58" s="1">
        <v>84.7</v>
      </c>
      <c r="O58">
        <v>509</v>
      </c>
    </row>
    <row r="59" spans="1:15" x14ac:dyDescent="0.25">
      <c r="A59" s="1">
        <v>81.286000000000001</v>
      </c>
      <c r="B59" s="1" t="s">
        <v>15</v>
      </c>
      <c r="C59" s="1" t="s">
        <v>16</v>
      </c>
      <c r="D59">
        <v>500</v>
      </c>
      <c r="E59">
        <v>500</v>
      </c>
      <c r="F59">
        <v>500</v>
      </c>
      <c r="G59" s="1">
        <v>8058.1480000000001</v>
      </c>
      <c r="H59" s="1">
        <v>3.6799999999999999E-2</v>
      </c>
      <c r="I59" s="2">
        <v>46090</v>
      </c>
      <c r="J59" s="1">
        <v>1.0089999999999999</v>
      </c>
      <c r="K59" s="1">
        <v>132814.79999999999</v>
      </c>
      <c r="L59" s="1">
        <v>3329.5</v>
      </c>
      <c r="M59" s="1">
        <v>167.5</v>
      </c>
      <c r="N59" s="1">
        <v>83.2</v>
      </c>
      <c r="O59">
        <v>509</v>
      </c>
    </row>
    <row r="60" spans="1:15" x14ac:dyDescent="0.25">
      <c r="A60" s="1">
        <v>82.296000000000006</v>
      </c>
      <c r="B60" s="1" t="s">
        <v>15</v>
      </c>
      <c r="C60" s="1" t="s">
        <v>16</v>
      </c>
      <c r="D60">
        <v>500</v>
      </c>
      <c r="E60">
        <v>500</v>
      </c>
      <c r="F60">
        <v>500</v>
      </c>
      <c r="G60" s="1">
        <v>8139.0129999999999</v>
      </c>
      <c r="H60" s="1">
        <v>3.8699999999999998E-2</v>
      </c>
      <c r="I60" s="2">
        <v>46151</v>
      </c>
      <c r="J60" s="1">
        <v>1.01</v>
      </c>
      <c r="K60" s="1">
        <v>134427.4</v>
      </c>
      <c r="L60" s="1">
        <v>3565.4</v>
      </c>
      <c r="M60" s="1">
        <v>176.3</v>
      </c>
      <c r="N60" s="1">
        <v>89.1</v>
      </c>
      <c r="O60">
        <v>509</v>
      </c>
    </row>
    <row r="61" spans="1:15" x14ac:dyDescent="0.25">
      <c r="A61" s="1">
        <v>83.304000000000002</v>
      </c>
      <c r="B61" s="1" t="s">
        <v>15</v>
      </c>
      <c r="C61" s="1" t="s">
        <v>16</v>
      </c>
      <c r="D61">
        <v>500</v>
      </c>
      <c r="E61">
        <v>500</v>
      </c>
      <c r="F61">
        <v>500</v>
      </c>
      <c r="G61" s="1">
        <v>8188.3329999999996</v>
      </c>
      <c r="H61" s="1">
        <v>3.7199999999999997E-2</v>
      </c>
      <c r="I61" s="2">
        <v>46151</v>
      </c>
      <c r="J61" s="1">
        <v>1.008</v>
      </c>
      <c r="K61" s="1">
        <v>135297.9</v>
      </c>
      <c r="L61" s="1">
        <v>3570.5</v>
      </c>
      <c r="M61" s="1">
        <v>178.5</v>
      </c>
      <c r="N61" s="1">
        <v>89.3</v>
      </c>
      <c r="O61">
        <v>509</v>
      </c>
    </row>
    <row r="62" spans="1:15" x14ac:dyDescent="0.25">
      <c r="A62" s="1">
        <v>84.311000000000007</v>
      </c>
      <c r="B62" s="1" t="s">
        <v>15</v>
      </c>
      <c r="C62" s="1" t="s">
        <v>16</v>
      </c>
      <c r="D62">
        <v>500</v>
      </c>
      <c r="E62">
        <v>500</v>
      </c>
      <c r="F62">
        <v>500</v>
      </c>
      <c r="G62" s="1">
        <v>8141.009</v>
      </c>
      <c r="H62" s="1">
        <v>3.5900000000000001E-2</v>
      </c>
      <c r="I62" s="2">
        <v>46182</v>
      </c>
      <c r="J62" s="1">
        <v>1.006</v>
      </c>
      <c r="K62" s="1">
        <v>134484.1</v>
      </c>
      <c r="L62" s="1">
        <v>3537.4</v>
      </c>
      <c r="M62" s="1">
        <v>176.9</v>
      </c>
      <c r="N62" s="1">
        <v>88.4</v>
      </c>
      <c r="O62">
        <v>509</v>
      </c>
    </row>
    <row r="63" spans="1:15" x14ac:dyDescent="0.25">
      <c r="A63" s="1">
        <f>SUBTOTAL(101,RB_20261022_150441[client_time_s])</f>
        <v>54.135393442622934</v>
      </c>
      <c r="B63" s="1"/>
      <c r="C63" s="1"/>
      <c r="D63">
        <f>SUBTOTAL(101,RB_20261022_150441[configured_actors])</f>
        <v>500</v>
      </c>
      <c r="E63">
        <f>SUBTOTAL(101,RB_20261022_150441[observed_actors])</f>
        <v>500</v>
      </c>
      <c r="F63">
        <f>SUBTOTAL(101,RB_20261022_150441[actors_with_movement_samples])</f>
        <v>500</v>
      </c>
      <c r="G63" s="1">
        <f>SUBTOTAL(101,RB_20261022_150441[movement_events_per_s])</f>
        <v>8024.4830983606553</v>
      </c>
      <c r="H63" s="1">
        <f>SUBTOTAL(101,RB_20261022_150441[mean_age_since_event_s])</f>
        <v>3.6627868852459007E-2</v>
      </c>
      <c r="I63" s="2">
        <f>SUBTOTAL(101,RB_20261022_150441[client_ping_ms])</f>
        <v>46082.065573770495</v>
      </c>
      <c r="J63" s="1">
        <f>SUBTOTAL(101,RB_20261022_150441[net_sample_duration_s])</f>
        <v>1.0056666666666667</v>
      </c>
      <c r="K63" s="1">
        <f>SUBTOTAL(101,RB_20261022_150441[in_bytes_per_s])</f>
        <v>134768.23000000001</v>
      </c>
      <c r="L63" s="1">
        <f>SUBTOTAL(101,RB_20261022_150441[out_bytes_per_s])</f>
        <v>3551.8833333333332</v>
      </c>
      <c r="M63" s="1">
        <f>SUBTOTAL(101,RB_20261022_150441[in_packets_per_s])</f>
        <v>177.26333333333324</v>
      </c>
      <c r="N63" s="1">
        <f>SUBTOTAL(101,RB_20261022_150441[out_packets_per_s])</f>
        <v>88.795000000000002</v>
      </c>
      <c r="O63">
        <f>SUBTOTAL(101,RB_20261022_150441[net_actor_channels])</f>
        <v>509</v>
      </c>
    </row>
    <row r="64" spans="1:15" x14ac:dyDescent="0.25">
      <c r="K64">
        <f>K63/1024</f>
        <v>131.60959960937501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F446-698B-4383-B6FF-87FF634CBDCB}">
  <dimension ref="A1:O84"/>
  <sheetViews>
    <sheetView topLeftCell="D67" workbookViewId="0">
      <selection activeCell="N74" sqref="N74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10" bestFit="1" customWidth="1"/>
    <col min="4" max="4" width="19.7109375" bestFit="1" customWidth="1"/>
    <col min="5" max="5" width="18.28515625" bestFit="1" customWidth="1"/>
    <col min="6" max="6" width="33.28515625" bestFit="1" customWidth="1"/>
    <col min="7" max="7" width="26.140625" bestFit="1" customWidth="1"/>
    <col min="8" max="8" width="26.28515625" bestFit="1" customWidth="1"/>
    <col min="9" max="9" width="16.85546875" bestFit="1" customWidth="1"/>
    <col min="10" max="10" width="24.42578125" bestFit="1" customWidth="1"/>
    <col min="11" max="11" width="16.7109375" bestFit="1" customWidth="1"/>
    <col min="12" max="12" width="18" bestFit="1" customWidth="1"/>
    <col min="13" max="13" width="18.7109375" bestFit="1" customWidth="1"/>
    <col min="14" max="14" width="20.140625" bestFit="1" customWidth="1"/>
    <col min="15" max="15" width="2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120.28100000000001</v>
      </c>
      <c r="B2" s="1" t="s">
        <v>15</v>
      </c>
      <c r="C2" s="1" t="s">
        <v>18</v>
      </c>
      <c r="D2">
        <v>500</v>
      </c>
      <c r="E2">
        <v>500</v>
      </c>
      <c r="F2">
        <v>500</v>
      </c>
      <c r="G2" s="1">
        <v>0</v>
      </c>
      <c r="H2" s="1">
        <v>0.12540000000000001</v>
      </c>
      <c r="I2" s="1">
        <v>9.4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>
        <v>509</v>
      </c>
    </row>
    <row r="3" spans="1:15" x14ac:dyDescent="0.25">
      <c r="A3" s="1">
        <v>121.28400000000001</v>
      </c>
      <c r="B3" s="1" t="s">
        <v>15</v>
      </c>
      <c r="C3" s="1" t="s">
        <v>18</v>
      </c>
      <c r="D3">
        <v>500</v>
      </c>
      <c r="E3">
        <v>500</v>
      </c>
      <c r="F3">
        <v>500</v>
      </c>
      <c r="G3" s="1">
        <v>2771.931</v>
      </c>
      <c r="H3" s="1">
        <v>0.1187</v>
      </c>
      <c r="I3" s="1">
        <v>9.1</v>
      </c>
      <c r="J3" s="1">
        <v>1.0029999999999999</v>
      </c>
      <c r="K3" s="1">
        <v>46703.1</v>
      </c>
      <c r="L3" s="1">
        <v>3509.8</v>
      </c>
      <c r="M3" s="1">
        <v>91.7</v>
      </c>
      <c r="N3" s="1">
        <v>87.7</v>
      </c>
      <c r="O3">
        <v>509</v>
      </c>
    </row>
    <row r="4" spans="1:15" x14ac:dyDescent="0.25">
      <c r="A4" s="1">
        <v>122.29300000000001</v>
      </c>
      <c r="B4" s="1" t="s">
        <v>15</v>
      </c>
      <c r="C4" s="1" t="s">
        <v>18</v>
      </c>
      <c r="D4">
        <v>500</v>
      </c>
      <c r="E4">
        <v>500</v>
      </c>
      <c r="F4">
        <v>500</v>
      </c>
      <c r="G4" s="1">
        <v>2775.116</v>
      </c>
      <c r="H4" s="1">
        <v>0.1087</v>
      </c>
      <c r="I4" s="1">
        <v>9</v>
      </c>
      <c r="J4" s="1">
        <v>1.01</v>
      </c>
      <c r="K4" s="1">
        <v>46841.2</v>
      </c>
      <c r="L4" s="1">
        <v>3644.7</v>
      </c>
      <c r="M4" s="1">
        <v>94.1</v>
      </c>
      <c r="N4" s="1">
        <v>91.1</v>
      </c>
      <c r="O4">
        <v>509</v>
      </c>
    </row>
    <row r="5" spans="1:15" x14ac:dyDescent="0.25">
      <c r="A5" s="1">
        <v>123.301</v>
      </c>
      <c r="B5" s="1" t="s">
        <v>15</v>
      </c>
      <c r="C5" s="1" t="s">
        <v>18</v>
      </c>
      <c r="D5">
        <v>500</v>
      </c>
      <c r="E5">
        <v>500</v>
      </c>
      <c r="F5">
        <v>500</v>
      </c>
      <c r="G5" s="1">
        <v>2782.88</v>
      </c>
      <c r="H5" s="1">
        <v>9.8400000000000001E-2</v>
      </c>
      <c r="I5" s="1">
        <v>8.9</v>
      </c>
      <c r="J5" s="1">
        <v>1.008</v>
      </c>
      <c r="K5" s="1">
        <v>46917.9</v>
      </c>
      <c r="L5" s="1">
        <v>3572.9</v>
      </c>
      <c r="M5" s="1">
        <v>93.3</v>
      </c>
      <c r="N5" s="1">
        <v>89.3</v>
      </c>
      <c r="O5">
        <v>509</v>
      </c>
    </row>
    <row r="6" spans="1:15" x14ac:dyDescent="0.25">
      <c r="A6" s="1">
        <v>124.306</v>
      </c>
      <c r="B6" s="1" t="s">
        <v>15</v>
      </c>
      <c r="C6" s="1" t="s">
        <v>18</v>
      </c>
      <c r="D6">
        <v>500</v>
      </c>
      <c r="E6">
        <v>500</v>
      </c>
      <c r="F6">
        <v>500</v>
      </c>
      <c r="G6" s="1">
        <v>2802.4520000000002</v>
      </c>
      <c r="H6" s="1">
        <v>9.01E-2</v>
      </c>
      <c r="I6" s="1">
        <v>8.8000000000000007</v>
      </c>
      <c r="J6" s="1">
        <v>1.0049999999999999</v>
      </c>
      <c r="K6" s="1">
        <v>47164.2</v>
      </c>
      <c r="L6" s="1">
        <v>3621.2</v>
      </c>
      <c r="M6" s="1">
        <v>91.5</v>
      </c>
      <c r="N6" s="1">
        <v>90.5</v>
      </c>
      <c r="O6">
        <v>509</v>
      </c>
    </row>
    <row r="7" spans="1:15" x14ac:dyDescent="0.25">
      <c r="A7" s="1">
        <v>125.306</v>
      </c>
      <c r="B7" s="1" t="s">
        <v>15</v>
      </c>
      <c r="C7" s="1" t="s">
        <v>18</v>
      </c>
      <c r="D7">
        <v>500</v>
      </c>
      <c r="E7">
        <v>500</v>
      </c>
      <c r="F7">
        <v>500</v>
      </c>
      <c r="G7" s="1">
        <v>2784.453</v>
      </c>
      <c r="H7" s="1">
        <v>7.8100000000000003E-2</v>
      </c>
      <c r="I7" s="1">
        <v>9.1</v>
      </c>
      <c r="J7" s="1">
        <v>1</v>
      </c>
      <c r="K7" s="1">
        <v>46934.8</v>
      </c>
      <c r="L7" s="1">
        <v>3599.3</v>
      </c>
      <c r="M7" s="1">
        <v>93</v>
      </c>
      <c r="N7" s="1">
        <v>90</v>
      </c>
      <c r="O7">
        <v>509</v>
      </c>
    </row>
    <row r="8" spans="1:15" x14ac:dyDescent="0.25">
      <c r="A8" s="1">
        <v>126.307</v>
      </c>
      <c r="B8" s="1" t="s">
        <v>15</v>
      </c>
      <c r="C8" s="1" t="s">
        <v>18</v>
      </c>
      <c r="D8">
        <v>500</v>
      </c>
      <c r="E8">
        <v>500</v>
      </c>
      <c r="F8">
        <v>500</v>
      </c>
      <c r="G8" s="1">
        <v>2768.3679999999999</v>
      </c>
      <c r="H8" s="1">
        <v>6.8699999999999997E-2</v>
      </c>
      <c r="I8" s="1">
        <v>9.3000000000000007</v>
      </c>
      <c r="J8" s="1">
        <v>1.0009999999999999</v>
      </c>
      <c r="K8" s="1">
        <v>46697.599999999999</v>
      </c>
      <c r="L8" s="1">
        <v>3596.6</v>
      </c>
      <c r="M8" s="1">
        <v>92.9</v>
      </c>
      <c r="N8" s="1">
        <v>89.9</v>
      </c>
      <c r="O8">
        <v>509</v>
      </c>
    </row>
    <row r="9" spans="1:15" x14ac:dyDescent="0.25">
      <c r="A9" s="1">
        <v>127.31100000000001</v>
      </c>
      <c r="B9" s="1" t="s">
        <v>15</v>
      </c>
      <c r="C9" s="1" t="s">
        <v>18</v>
      </c>
      <c r="D9">
        <v>500</v>
      </c>
      <c r="E9">
        <v>500</v>
      </c>
      <c r="F9">
        <v>500</v>
      </c>
      <c r="G9" s="1">
        <v>2789.09</v>
      </c>
      <c r="H9" s="1">
        <v>6.1100000000000002E-2</v>
      </c>
      <c r="I9" s="1">
        <v>9.5</v>
      </c>
      <c r="J9" s="1">
        <v>1.004</v>
      </c>
      <c r="K9" s="1">
        <v>46997.2</v>
      </c>
      <c r="L9" s="1">
        <v>3586</v>
      </c>
      <c r="M9" s="1">
        <v>92.6</v>
      </c>
      <c r="N9" s="1">
        <v>89.6</v>
      </c>
      <c r="O9">
        <v>509</v>
      </c>
    </row>
    <row r="10" spans="1:15" x14ac:dyDescent="0.25">
      <c r="A10" s="1">
        <v>128.321</v>
      </c>
      <c r="B10" s="1" t="s">
        <v>15</v>
      </c>
      <c r="C10" s="1" t="s">
        <v>18</v>
      </c>
      <c r="D10">
        <v>500</v>
      </c>
      <c r="E10">
        <v>500</v>
      </c>
      <c r="F10">
        <v>500</v>
      </c>
      <c r="G10" s="1">
        <v>2742.6750000000002</v>
      </c>
      <c r="H10" s="1">
        <v>8.6999999999999994E-2</v>
      </c>
      <c r="I10" s="1">
        <v>9.5</v>
      </c>
      <c r="J10" s="1">
        <v>1.01</v>
      </c>
      <c r="K10" s="1">
        <v>46250.2</v>
      </c>
      <c r="L10" s="1">
        <v>3604.1</v>
      </c>
      <c r="M10" s="1">
        <v>92.1</v>
      </c>
      <c r="N10" s="1">
        <v>90.1</v>
      </c>
      <c r="O10">
        <v>509</v>
      </c>
    </row>
    <row r="11" spans="1:15" x14ac:dyDescent="0.25">
      <c r="A11" s="1">
        <v>129.33199999999999</v>
      </c>
      <c r="B11" s="1" t="s">
        <v>15</v>
      </c>
      <c r="C11" s="1" t="s">
        <v>18</v>
      </c>
      <c r="D11">
        <v>500</v>
      </c>
      <c r="E11">
        <v>500</v>
      </c>
      <c r="F11">
        <v>500</v>
      </c>
      <c r="G11" s="1">
        <v>2741.3440000000001</v>
      </c>
      <c r="H11" s="1">
        <v>0.1124</v>
      </c>
      <c r="I11" s="1">
        <v>9.3000000000000007</v>
      </c>
      <c r="J11" s="1">
        <v>1.0109999999999999</v>
      </c>
      <c r="K11" s="1">
        <v>46251.8</v>
      </c>
      <c r="L11" s="1">
        <v>3599.7</v>
      </c>
      <c r="M11" s="1">
        <v>93</v>
      </c>
      <c r="N11" s="1">
        <v>90</v>
      </c>
      <c r="O11">
        <v>509</v>
      </c>
    </row>
    <row r="12" spans="1:15" x14ac:dyDescent="0.25">
      <c r="A12" s="1">
        <v>130.333</v>
      </c>
      <c r="B12" s="1" t="s">
        <v>15</v>
      </c>
      <c r="C12" s="1" t="s">
        <v>18</v>
      </c>
      <c r="D12">
        <v>500</v>
      </c>
      <c r="E12">
        <v>500</v>
      </c>
      <c r="F12">
        <v>500</v>
      </c>
      <c r="G12" s="1">
        <v>2733.6489999999999</v>
      </c>
      <c r="H12" s="1">
        <v>0.1565</v>
      </c>
      <c r="I12" s="1">
        <v>9.1999999999999993</v>
      </c>
      <c r="J12" s="1">
        <v>1</v>
      </c>
      <c r="K12" s="1">
        <v>46145.2</v>
      </c>
      <c r="L12" s="1">
        <v>3598.2</v>
      </c>
      <c r="M12" s="1">
        <v>93</v>
      </c>
      <c r="N12" s="1">
        <v>90</v>
      </c>
      <c r="O12">
        <v>509</v>
      </c>
    </row>
    <row r="13" spans="1:15" x14ac:dyDescent="0.25">
      <c r="A13" s="1">
        <v>131.333</v>
      </c>
      <c r="B13" s="1" t="s">
        <v>15</v>
      </c>
      <c r="C13" s="1" t="s">
        <v>18</v>
      </c>
      <c r="D13">
        <v>500</v>
      </c>
      <c r="E13">
        <v>500</v>
      </c>
      <c r="F13">
        <v>500</v>
      </c>
      <c r="G13" s="1">
        <v>2713.6819999999998</v>
      </c>
      <c r="H13" s="1">
        <v>0.21879999999999999</v>
      </c>
      <c r="I13" s="1">
        <v>9.1999999999999993</v>
      </c>
      <c r="J13" s="1">
        <v>1</v>
      </c>
      <c r="K13" s="1">
        <v>45732.6</v>
      </c>
      <c r="L13" s="1">
        <v>3599.6</v>
      </c>
      <c r="M13" s="1">
        <v>91</v>
      </c>
      <c r="N13" s="1">
        <v>90</v>
      </c>
      <c r="O13">
        <v>509</v>
      </c>
    </row>
    <row r="14" spans="1:15" x14ac:dyDescent="0.25">
      <c r="A14" s="1">
        <v>132.333</v>
      </c>
      <c r="B14" s="1" t="s">
        <v>15</v>
      </c>
      <c r="C14" s="1" t="s">
        <v>18</v>
      </c>
      <c r="D14">
        <v>500</v>
      </c>
      <c r="E14">
        <v>500</v>
      </c>
      <c r="F14">
        <v>500</v>
      </c>
      <c r="G14" s="1">
        <v>2752.902</v>
      </c>
      <c r="H14" s="1">
        <v>0.24149999999999999</v>
      </c>
      <c r="I14" s="1">
        <v>9.1999999999999993</v>
      </c>
      <c r="J14" s="1">
        <v>1</v>
      </c>
      <c r="K14" s="1">
        <v>46367.3</v>
      </c>
      <c r="L14" s="1">
        <v>3599.9</v>
      </c>
      <c r="M14" s="1">
        <v>91</v>
      </c>
      <c r="N14" s="1">
        <v>90</v>
      </c>
      <c r="O14">
        <v>509</v>
      </c>
    </row>
    <row r="15" spans="1:15" x14ac:dyDescent="0.25">
      <c r="A15" s="1">
        <v>133.34100000000001</v>
      </c>
      <c r="B15" s="1" t="s">
        <v>15</v>
      </c>
      <c r="C15" s="1" t="s">
        <v>18</v>
      </c>
      <c r="D15">
        <v>500</v>
      </c>
      <c r="E15">
        <v>500</v>
      </c>
      <c r="F15">
        <v>500</v>
      </c>
      <c r="G15" s="1">
        <v>2769.6959999999999</v>
      </c>
      <c r="H15" s="1">
        <v>0.24759999999999999</v>
      </c>
      <c r="I15" s="1">
        <v>9.1999999999999993</v>
      </c>
      <c r="J15" s="1">
        <v>1.008</v>
      </c>
      <c r="K15" s="1">
        <v>46677.3</v>
      </c>
      <c r="L15" s="1">
        <v>3570</v>
      </c>
      <c r="M15" s="1">
        <v>92.2</v>
      </c>
      <c r="N15" s="1">
        <v>89.2</v>
      </c>
      <c r="O15">
        <v>509</v>
      </c>
    </row>
    <row r="16" spans="1:15" x14ac:dyDescent="0.25">
      <c r="A16" s="1">
        <v>134.346</v>
      </c>
      <c r="B16" s="1" t="s">
        <v>15</v>
      </c>
      <c r="C16" s="1" t="s">
        <v>18</v>
      </c>
      <c r="D16">
        <v>500</v>
      </c>
      <c r="E16">
        <v>500</v>
      </c>
      <c r="F16">
        <v>500</v>
      </c>
      <c r="G16" s="1">
        <v>2759.0639999999999</v>
      </c>
      <c r="H16" s="1">
        <v>0.248</v>
      </c>
      <c r="I16" s="1">
        <v>9.1999999999999993</v>
      </c>
      <c r="J16" s="1">
        <v>1.004</v>
      </c>
      <c r="K16" s="1">
        <v>46523.7</v>
      </c>
      <c r="L16" s="1">
        <v>3624.3</v>
      </c>
      <c r="M16" s="1">
        <v>92.6</v>
      </c>
      <c r="N16" s="1">
        <v>90.6</v>
      </c>
      <c r="O16">
        <v>509</v>
      </c>
    </row>
    <row r="17" spans="1:15" x14ac:dyDescent="0.25">
      <c r="A17" s="1">
        <v>135.35300000000001</v>
      </c>
      <c r="B17" s="1" t="s">
        <v>15</v>
      </c>
      <c r="C17" s="1" t="s">
        <v>18</v>
      </c>
      <c r="D17">
        <v>500</v>
      </c>
      <c r="E17">
        <v>500</v>
      </c>
      <c r="F17">
        <v>500</v>
      </c>
      <c r="G17" s="1">
        <v>2792.3240000000001</v>
      </c>
      <c r="H17" s="1">
        <v>0.24049999999999999</v>
      </c>
      <c r="I17" s="1">
        <v>9.4</v>
      </c>
      <c r="J17" s="1">
        <v>1.0069999999999999</v>
      </c>
      <c r="K17" s="1">
        <v>46969</v>
      </c>
      <c r="L17" s="1">
        <v>3574.8</v>
      </c>
      <c r="M17" s="1">
        <v>90.4</v>
      </c>
      <c r="N17" s="1">
        <v>89.4</v>
      </c>
      <c r="O17">
        <v>509</v>
      </c>
    </row>
    <row r="18" spans="1:15" x14ac:dyDescent="0.25">
      <c r="A18" s="1">
        <v>136.35400000000001</v>
      </c>
      <c r="B18" s="1" t="s">
        <v>15</v>
      </c>
      <c r="C18" s="1" t="s">
        <v>18</v>
      </c>
      <c r="D18">
        <v>500</v>
      </c>
      <c r="E18">
        <v>500</v>
      </c>
      <c r="F18">
        <v>500</v>
      </c>
      <c r="G18" s="1">
        <v>2782.779</v>
      </c>
      <c r="H18" s="1">
        <v>0.23069999999999999</v>
      </c>
      <c r="I18" s="1">
        <v>9.4</v>
      </c>
      <c r="J18" s="1">
        <v>1.002</v>
      </c>
      <c r="K18" s="1">
        <v>46796</v>
      </c>
      <c r="L18" s="1">
        <v>3594.5</v>
      </c>
      <c r="M18" s="1">
        <v>89.9</v>
      </c>
      <c r="N18" s="1">
        <v>89.9</v>
      </c>
      <c r="O18">
        <v>509</v>
      </c>
    </row>
    <row r="19" spans="1:15" x14ac:dyDescent="0.25">
      <c r="A19" s="1">
        <v>137.35599999999999</v>
      </c>
      <c r="B19" s="1" t="s">
        <v>15</v>
      </c>
      <c r="C19" s="1" t="s">
        <v>18</v>
      </c>
      <c r="D19">
        <v>500</v>
      </c>
      <c r="E19">
        <v>500</v>
      </c>
      <c r="F19">
        <v>500</v>
      </c>
      <c r="G19" s="1">
        <v>2757.6979999999999</v>
      </c>
      <c r="H19" s="1">
        <v>0.22239999999999999</v>
      </c>
      <c r="I19" s="1">
        <v>9.4</v>
      </c>
      <c r="J19" s="1">
        <v>1.002</v>
      </c>
      <c r="K19" s="1">
        <v>46197.4</v>
      </c>
      <c r="L19" s="1">
        <v>3312.4</v>
      </c>
      <c r="M19" s="1">
        <v>84.8</v>
      </c>
      <c r="N19" s="1">
        <v>82.8</v>
      </c>
      <c r="O19">
        <v>509</v>
      </c>
    </row>
    <row r="20" spans="1:15" x14ac:dyDescent="0.25">
      <c r="A20" s="1">
        <v>138.36199999999999</v>
      </c>
      <c r="B20" s="1" t="s">
        <v>15</v>
      </c>
      <c r="C20" s="1" t="s">
        <v>18</v>
      </c>
      <c r="D20">
        <v>500</v>
      </c>
      <c r="E20">
        <v>500</v>
      </c>
      <c r="F20">
        <v>500</v>
      </c>
      <c r="G20" s="1">
        <v>2771.2559999999999</v>
      </c>
      <c r="H20" s="1">
        <v>0.20949999999999999</v>
      </c>
      <c r="I20" s="1">
        <v>9.5</v>
      </c>
      <c r="J20" s="1">
        <v>1.0049999999999999</v>
      </c>
      <c r="K20" s="1">
        <v>46569.2</v>
      </c>
      <c r="L20" s="1">
        <v>3541.2</v>
      </c>
      <c r="M20" s="1">
        <v>88.5</v>
      </c>
      <c r="N20" s="1">
        <v>88.5</v>
      </c>
      <c r="O20">
        <v>509</v>
      </c>
    </row>
    <row r="21" spans="1:15" x14ac:dyDescent="0.25">
      <c r="A21" s="1">
        <v>139.36600000000001</v>
      </c>
      <c r="B21" s="1" t="s">
        <v>15</v>
      </c>
      <c r="C21" s="1" t="s">
        <v>18</v>
      </c>
      <c r="D21">
        <v>500</v>
      </c>
      <c r="E21">
        <v>500</v>
      </c>
      <c r="F21">
        <v>500</v>
      </c>
      <c r="G21" s="1">
        <v>2771.3609999999999</v>
      </c>
      <c r="H21" s="1">
        <v>0.2046</v>
      </c>
      <c r="I21" s="1">
        <v>9.3000000000000007</v>
      </c>
      <c r="J21" s="1">
        <v>1.0049999999999999</v>
      </c>
      <c r="K21" s="1">
        <v>46489</v>
      </c>
      <c r="L21" s="1">
        <v>3464.2</v>
      </c>
      <c r="M21" s="1">
        <v>86.6</v>
      </c>
      <c r="N21" s="1">
        <v>86.6</v>
      </c>
      <c r="O21">
        <v>509</v>
      </c>
    </row>
    <row r="22" spans="1:15" x14ac:dyDescent="0.25">
      <c r="A22" s="1">
        <v>140.376</v>
      </c>
      <c r="B22" s="1" t="s">
        <v>15</v>
      </c>
      <c r="C22" s="1" t="s">
        <v>18</v>
      </c>
      <c r="D22">
        <v>500</v>
      </c>
      <c r="E22">
        <v>500</v>
      </c>
      <c r="F22">
        <v>500</v>
      </c>
      <c r="G22" s="1">
        <v>2792.1350000000002</v>
      </c>
      <c r="H22" s="1">
        <v>0.19550000000000001</v>
      </c>
      <c r="I22" s="1">
        <v>9.4</v>
      </c>
      <c r="J22" s="1">
        <v>1.01</v>
      </c>
      <c r="K22" s="1">
        <v>46985.9</v>
      </c>
      <c r="L22" s="1">
        <v>3605.3</v>
      </c>
      <c r="M22" s="1">
        <v>91.1</v>
      </c>
      <c r="N22" s="1">
        <v>90.1</v>
      </c>
      <c r="O22">
        <v>509</v>
      </c>
    </row>
    <row r="23" spans="1:15" x14ac:dyDescent="0.25">
      <c r="A23" s="1">
        <v>141.37899999999999</v>
      </c>
      <c r="B23" s="1" t="s">
        <v>15</v>
      </c>
      <c r="C23" s="1" t="s">
        <v>18</v>
      </c>
      <c r="D23">
        <v>500</v>
      </c>
      <c r="E23">
        <v>500</v>
      </c>
      <c r="F23">
        <v>500</v>
      </c>
      <c r="G23" s="1">
        <v>2775.5230000000001</v>
      </c>
      <c r="H23" s="1">
        <v>0.18590000000000001</v>
      </c>
      <c r="I23" s="1">
        <v>9.4</v>
      </c>
      <c r="J23" s="1">
        <v>1.0029999999999999</v>
      </c>
      <c r="K23" s="1">
        <v>46685.599999999999</v>
      </c>
      <c r="L23" s="1">
        <v>3587.7</v>
      </c>
      <c r="M23" s="1">
        <v>89.7</v>
      </c>
      <c r="N23" s="1">
        <v>89.7</v>
      </c>
      <c r="O23">
        <v>509</v>
      </c>
    </row>
    <row r="24" spans="1:15" x14ac:dyDescent="0.25">
      <c r="A24" s="1">
        <v>142.39099999999999</v>
      </c>
      <c r="B24" s="1" t="s">
        <v>15</v>
      </c>
      <c r="C24" s="1" t="s">
        <v>18</v>
      </c>
      <c r="D24">
        <v>500</v>
      </c>
      <c r="E24">
        <v>500</v>
      </c>
      <c r="F24">
        <v>500</v>
      </c>
      <c r="G24" s="1">
        <v>2775.951</v>
      </c>
      <c r="H24" s="1">
        <v>0.1812</v>
      </c>
      <c r="I24" s="1">
        <v>9.1999999999999993</v>
      </c>
      <c r="J24" s="1">
        <v>1.012</v>
      </c>
      <c r="K24" s="1">
        <v>46681.1</v>
      </c>
      <c r="L24" s="1">
        <v>3598.5</v>
      </c>
      <c r="M24" s="1">
        <v>90</v>
      </c>
      <c r="N24" s="1">
        <v>90</v>
      </c>
      <c r="O24">
        <v>509</v>
      </c>
    </row>
    <row r="25" spans="1:15" x14ac:dyDescent="0.25">
      <c r="A25" s="1">
        <v>143.392</v>
      </c>
      <c r="B25" s="1" t="s">
        <v>15</v>
      </c>
      <c r="C25" s="1" t="s">
        <v>18</v>
      </c>
      <c r="D25">
        <v>500</v>
      </c>
      <c r="E25">
        <v>500</v>
      </c>
      <c r="F25">
        <v>500</v>
      </c>
      <c r="G25" s="1">
        <v>2796.01</v>
      </c>
      <c r="H25" s="1">
        <v>0.16850000000000001</v>
      </c>
      <c r="I25" s="1">
        <v>9.1999999999999993</v>
      </c>
      <c r="J25" s="1">
        <v>1.0009999999999999</v>
      </c>
      <c r="K25" s="1">
        <v>46968.6</v>
      </c>
      <c r="L25" s="1">
        <v>3557.5</v>
      </c>
      <c r="M25" s="1">
        <v>88.9</v>
      </c>
      <c r="N25" s="1">
        <v>88.9</v>
      </c>
      <c r="O25">
        <v>509</v>
      </c>
    </row>
    <row r="26" spans="1:15" x14ac:dyDescent="0.25">
      <c r="A26" s="1">
        <v>144.39500000000001</v>
      </c>
      <c r="B26" s="1" t="s">
        <v>15</v>
      </c>
      <c r="C26" s="1" t="s">
        <v>18</v>
      </c>
      <c r="D26">
        <v>500</v>
      </c>
      <c r="E26">
        <v>500</v>
      </c>
      <c r="F26">
        <v>500</v>
      </c>
      <c r="G26" s="1">
        <v>2764.7660000000001</v>
      </c>
      <c r="H26" s="1">
        <v>0.16339999999999999</v>
      </c>
      <c r="I26" s="1">
        <v>9.1999999999999993</v>
      </c>
      <c r="J26" s="1">
        <v>1.0029999999999999</v>
      </c>
      <c r="K26" s="1">
        <v>46584.4</v>
      </c>
      <c r="L26" s="1">
        <v>3627.9</v>
      </c>
      <c r="M26" s="1">
        <v>91.7</v>
      </c>
      <c r="N26" s="1">
        <v>90.7</v>
      </c>
      <c r="O26">
        <v>509</v>
      </c>
    </row>
    <row r="27" spans="1:15" x14ac:dyDescent="0.25">
      <c r="A27" s="1">
        <v>145.39699999999999</v>
      </c>
      <c r="B27" s="1" t="s">
        <v>15</v>
      </c>
      <c r="C27" s="1" t="s">
        <v>18</v>
      </c>
      <c r="D27">
        <v>500</v>
      </c>
      <c r="E27">
        <v>500</v>
      </c>
      <c r="F27">
        <v>500</v>
      </c>
      <c r="G27" s="1">
        <v>2779.9169999999999</v>
      </c>
      <c r="H27" s="1">
        <v>0.15210000000000001</v>
      </c>
      <c r="I27" s="1">
        <v>9.1999999999999993</v>
      </c>
      <c r="J27" s="1">
        <v>1.002</v>
      </c>
      <c r="K27" s="1">
        <v>46749.5</v>
      </c>
      <c r="L27" s="1">
        <v>3593.4</v>
      </c>
      <c r="M27" s="1">
        <v>89.8</v>
      </c>
      <c r="N27" s="1">
        <v>89.8</v>
      </c>
      <c r="O27">
        <v>509</v>
      </c>
    </row>
    <row r="28" spans="1:15" x14ac:dyDescent="0.25">
      <c r="A28" s="1">
        <v>146.398</v>
      </c>
      <c r="B28" s="1" t="s">
        <v>15</v>
      </c>
      <c r="C28" s="1" t="s">
        <v>18</v>
      </c>
      <c r="D28">
        <v>500</v>
      </c>
      <c r="E28">
        <v>500</v>
      </c>
      <c r="F28">
        <v>500</v>
      </c>
      <c r="G28" s="1">
        <v>2780.4670000000001</v>
      </c>
      <c r="H28" s="1">
        <v>0.1416</v>
      </c>
      <c r="I28" s="1">
        <v>9.1999999999999993</v>
      </c>
      <c r="J28" s="1">
        <v>1.0009999999999999</v>
      </c>
      <c r="K28" s="1">
        <v>46770.400000000001</v>
      </c>
      <c r="L28" s="1">
        <v>3596.7</v>
      </c>
      <c r="M28" s="1">
        <v>89.9</v>
      </c>
      <c r="N28" s="1">
        <v>89.9</v>
      </c>
      <c r="O28">
        <v>509</v>
      </c>
    </row>
    <row r="29" spans="1:15" x14ac:dyDescent="0.25">
      <c r="A29" s="1">
        <v>147.41</v>
      </c>
      <c r="B29" s="1" t="s">
        <v>15</v>
      </c>
      <c r="C29" s="1" t="s">
        <v>18</v>
      </c>
      <c r="D29">
        <v>500</v>
      </c>
      <c r="E29">
        <v>500</v>
      </c>
      <c r="F29">
        <v>500</v>
      </c>
      <c r="G29" s="1">
        <v>2798.884</v>
      </c>
      <c r="H29" s="1">
        <v>0.1363</v>
      </c>
      <c r="I29" s="1">
        <v>9.1999999999999993</v>
      </c>
      <c r="J29" s="1">
        <v>1.012</v>
      </c>
      <c r="K29" s="1">
        <v>47081.9</v>
      </c>
      <c r="L29" s="1">
        <v>3597.4</v>
      </c>
      <c r="M29" s="1">
        <v>90.9</v>
      </c>
      <c r="N29" s="1">
        <v>89.9</v>
      </c>
      <c r="O29">
        <v>509</v>
      </c>
    </row>
    <row r="30" spans="1:15" x14ac:dyDescent="0.25">
      <c r="A30" s="1">
        <v>148.41</v>
      </c>
      <c r="B30" s="1" t="s">
        <v>15</v>
      </c>
      <c r="C30" s="1" t="s">
        <v>18</v>
      </c>
      <c r="D30">
        <v>500</v>
      </c>
      <c r="E30">
        <v>500</v>
      </c>
      <c r="F30">
        <v>500</v>
      </c>
      <c r="G30" s="1">
        <v>2778.1480000000001</v>
      </c>
      <c r="H30" s="1">
        <v>0.12590000000000001</v>
      </c>
      <c r="I30" s="1">
        <v>9.4</v>
      </c>
      <c r="J30" s="1">
        <v>1.0009999999999999</v>
      </c>
      <c r="K30" s="1">
        <v>46759.8</v>
      </c>
      <c r="L30" s="1">
        <v>3597.6</v>
      </c>
      <c r="M30" s="1">
        <v>90.9</v>
      </c>
      <c r="N30" s="1">
        <v>89.9</v>
      </c>
      <c r="O30">
        <v>509</v>
      </c>
    </row>
    <row r="31" spans="1:15" x14ac:dyDescent="0.25">
      <c r="A31" s="1">
        <v>149.422</v>
      </c>
      <c r="B31" s="1" t="s">
        <v>15</v>
      </c>
      <c r="C31" s="1" t="s">
        <v>18</v>
      </c>
      <c r="D31">
        <v>500</v>
      </c>
      <c r="E31">
        <v>500</v>
      </c>
      <c r="F31">
        <v>500</v>
      </c>
      <c r="G31" s="1">
        <v>2775.7159999999999</v>
      </c>
      <c r="H31" s="1">
        <v>0.12039999999999999</v>
      </c>
      <c r="I31" s="1">
        <v>9.1999999999999993</v>
      </c>
      <c r="J31" s="1">
        <v>1.012</v>
      </c>
      <c r="K31" s="1">
        <v>46769</v>
      </c>
      <c r="L31" s="1">
        <v>3598.2</v>
      </c>
      <c r="M31" s="1">
        <v>91.9</v>
      </c>
      <c r="N31" s="1">
        <v>90</v>
      </c>
      <c r="O31">
        <v>509</v>
      </c>
    </row>
    <row r="32" spans="1:15" x14ac:dyDescent="0.25">
      <c r="A32" s="1">
        <v>150.43299999999999</v>
      </c>
      <c r="B32" s="1" t="s">
        <v>15</v>
      </c>
      <c r="C32" s="1" t="s">
        <v>18</v>
      </c>
      <c r="D32">
        <v>500</v>
      </c>
      <c r="E32">
        <v>500</v>
      </c>
      <c r="F32">
        <v>500</v>
      </c>
      <c r="G32" s="1">
        <v>2791.19</v>
      </c>
      <c r="H32" s="1">
        <v>0.1148</v>
      </c>
      <c r="I32" s="1">
        <v>9.1</v>
      </c>
      <c r="J32" s="1">
        <v>1.0109999999999999</v>
      </c>
      <c r="K32" s="1">
        <v>46919.9</v>
      </c>
      <c r="L32" s="1">
        <v>3601.5</v>
      </c>
      <c r="M32" s="1">
        <v>90</v>
      </c>
      <c r="N32" s="1">
        <v>90</v>
      </c>
      <c r="O32">
        <v>509</v>
      </c>
    </row>
    <row r="33" spans="1:15" x14ac:dyDescent="0.25">
      <c r="A33" s="1">
        <v>151.435</v>
      </c>
      <c r="B33" s="1" t="s">
        <v>15</v>
      </c>
      <c r="C33" s="1" t="s">
        <v>18</v>
      </c>
      <c r="D33">
        <v>500</v>
      </c>
      <c r="E33">
        <v>500</v>
      </c>
      <c r="F33">
        <v>500</v>
      </c>
      <c r="G33" s="1">
        <v>2802.83</v>
      </c>
      <c r="H33" s="1">
        <v>0.1021</v>
      </c>
      <c r="I33" s="1">
        <v>9.1</v>
      </c>
      <c r="J33" s="1">
        <v>1.002</v>
      </c>
      <c r="K33" s="1">
        <v>47100.3</v>
      </c>
      <c r="L33" s="1">
        <v>3592.1</v>
      </c>
      <c r="M33" s="1">
        <v>89.8</v>
      </c>
      <c r="N33" s="1">
        <v>89.8</v>
      </c>
      <c r="O33">
        <v>509</v>
      </c>
    </row>
    <row r="34" spans="1:15" x14ac:dyDescent="0.25">
      <c r="A34" s="1">
        <v>152.435</v>
      </c>
      <c r="B34" s="1" t="s">
        <v>15</v>
      </c>
      <c r="C34" s="1" t="s">
        <v>18</v>
      </c>
      <c r="D34">
        <v>500</v>
      </c>
      <c r="E34">
        <v>500</v>
      </c>
      <c r="F34">
        <v>500</v>
      </c>
      <c r="G34" s="1">
        <v>2771.9459999999999</v>
      </c>
      <c r="H34" s="1">
        <v>9.2700000000000005E-2</v>
      </c>
      <c r="I34" s="1">
        <v>9.1</v>
      </c>
      <c r="J34" s="1">
        <v>1</v>
      </c>
      <c r="K34" s="1">
        <v>46634.1</v>
      </c>
      <c r="L34" s="1">
        <v>3599.9</v>
      </c>
      <c r="M34" s="1">
        <v>90</v>
      </c>
      <c r="N34" s="1">
        <v>90</v>
      </c>
      <c r="O34">
        <v>509</v>
      </c>
    </row>
    <row r="35" spans="1:15" x14ac:dyDescent="0.25">
      <c r="A35" s="1">
        <v>153.44499999999999</v>
      </c>
      <c r="B35" s="1" t="s">
        <v>15</v>
      </c>
      <c r="C35" s="1" t="s">
        <v>18</v>
      </c>
      <c r="D35">
        <v>500</v>
      </c>
      <c r="E35">
        <v>500</v>
      </c>
      <c r="F35">
        <v>500</v>
      </c>
      <c r="G35" s="1">
        <v>2767.8879999999999</v>
      </c>
      <c r="H35" s="1">
        <v>8.8099999999999998E-2</v>
      </c>
      <c r="I35" s="1">
        <v>9.1999999999999993</v>
      </c>
      <c r="J35" s="1">
        <v>1.0109999999999999</v>
      </c>
      <c r="K35" s="1">
        <v>46536.5</v>
      </c>
      <c r="L35" s="1">
        <v>3562.5</v>
      </c>
      <c r="M35" s="1">
        <v>89.1</v>
      </c>
      <c r="N35" s="1">
        <v>89.1</v>
      </c>
      <c r="O35">
        <v>509</v>
      </c>
    </row>
    <row r="36" spans="1:15" x14ac:dyDescent="0.25">
      <c r="A36" s="1">
        <v>154.44800000000001</v>
      </c>
      <c r="B36" s="1" t="s">
        <v>15</v>
      </c>
      <c r="C36" s="1" t="s">
        <v>18</v>
      </c>
      <c r="D36">
        <v>500</v>
      </c>
      <c r="E36">
        <v>500</v>
      </c>
      <c r="F36">
        <v>500</v>
      </c>
      <c r="G36" s="1">
        <v>2787.53</v>
      </c>
      <c r="H36" s="1">
        <v>8.1600000000000006E-2</v>
      </c>
      <c r="I36" s="1">
        <v>9.1999999999999993</v>
      </c>
      <c r="J36" s="1">
        <v>1.002</v>
      </c>
      <c r="K36" s="1">
        <v>46905.1</v>
      </c>
      <c r="L36" s="1">
        <v>3631.6</v>
      </c>
      <c r="M36" s="1">
        <v>90.8</v>
      </c>
      <c r="N36" s="1">
        <v>90.8</v>
      </c>
      <c r="O36">
        <v>509</v>
      </c>
    </row>
    <row r="37" spans="1:15" x14ac:dyDescent="0.25">
      <c r="A37" s="1">
        <v>155.44999999999999</v>
      </c>
      <c r="B37" s="1" t="s">
        <v>15</v>
      </c>
      <c r="C37" s="1" t="s">
        <v>18</v>
      </c>
      <c r="D37">
        <v>500</v>
      </c>
      <c r="E37">
        <v>500</v>
      </c>
      <c r="F37">
        <v>500</v>
      </c>
      <c r="G37" s="1">
        <v>2748.038</v>
      </c>
      <c r="H37" s="1">
        <v>8.9899999999999994E-2</v>
      </c>
      <c r="I37" s="1">
        <v>9.1</v>
      </c>
      <c r="J37" s="1">
        <v>1.002</v>
      </c>
      <c r="K37" s="1">
        <v>46272.6</v>
      </c>
      <c r="L37" s="1">
        <v>3592.2</v>
      </c>
      <c r="M37" s="1">
        <v>90.8</v>
      </c>
      <c r="N37" s="1">
        <v>89.8</v>
      </c>
      <c r="O37">
        <v>509</v>
      </c>
    </row>
    <row r="38" spans="1:15" x14ac:dyDescent="0.25">
      <c r="A38" s="1">
        <v>156.453</v>
      </c>
      <c r="B38" s="1" t="s">
        <v>15</v>
      </c>
      <c r="C38" s="1" t="s">
        <v>18</v>
      </c>
      <c r="D38">
        <v>500</v>
      </c>
      <c r="E38">
        <v>500</v>
      </c>
      <c r="F38">
        <v>500</v>
      </c>
      <c r="G38" s="1">
        <v>2769.3150000000001</v>
      </c>
      <c r="H38" s="1">
        <v>0.105</v>
      </c>
      <c r="I38" s="1">
        <v>9.1</v>
      </c>
      <c r="J38" s="1">
        <v>1.0029999999999999</v>
      </c>
      <c r="K38" s="1">
        <v>46568</v>
      </c>
      <c r="L38" s="1">
        <v>3588.7</v>
      </c>
      <c r="M38" s="1">
        <v>89.7</v>
      </c>
      <c r="N38" s="1">
        <v>89.7</v>
      </c>
      <c r="O38">
        <v>509</v>
      </c>
    </row>
    <row r="39" spans="1:15" x14ac:dyDescent="0.25">
      <c r="A39" s="1">
        <v>157.45599999999999</v>
      </c>
      <c r="B39" s="1" t="s">
        <v>15</v>
      </c>
      <c r="C39" s="1" t="s">
        <v>18</v>
      </c>
      <c r="D39">
        <v>500</v>
      </c>
      <c r="E39">
        <v>500</v>
      </c>
      <c r="F39">
        <v>500</v>
      </c>
      <c r="G39" s="1">
        <v>2733.4740000000002</v>
      </c>
      <c r="H39" s="1">
        <v>0.1275</v>
      </c>
      <c r="I39" s="1">
        <v>9.4</v>
      </c>
      <c r="J39" s="1">
        <v>1.0029999999999999</v>
      </c>
      <c r="K39" s="1">
        <v>46052.4</v>
      </c>
      <c r="L39" s="1">
        <v>3588.8</v>
      </c>
      <c r="M39" s="1">
        <v>90.7</v>
      </c>
      <c r="N39" s="1">
        <v>89.7</v>
      </c>
      <c r="O39">
        <v>509</v>
      </c>
    </row>
    <row r="40" spans="1:15" x14ac:dyDescent="0.25">
      <c r="A40" s="1">
        <v>158.45599999999999</v>
      </c>
      <c r="B40" s="1" t="s">
        <v>15</v>
      </c>
      <c r="C40" s="1" t="s">
        <v>18</v>
      </c>
      <c r="D40">
        <v>500</v>
      </c>
      <c r="E40">
        <v>500</v>
      </c>
      <c r="F40">
        <v>500</v>
      </c>
      <c r="G40" s="1">
        <v>2743.3510000000001</v>
      </c>
      <c r="H40" s="1">
        <v>0.1578</v>
      </c>
      <c r="I40" s="1">
        <v>9.4</v>
      </c>
      <c r="J40" s="1">
        <v>1</v>
      </c>
      <c r="K40" s="1">
        <v>46177.1</v>
      </c>
      <c r="L40" s="1">
        <v>3599.1</v>
      </c>
      <c r="M40" s="1">
        <v>90</v>
      </c>
      <c r="N40" s="1">
        <v>90</v>
      </c>
      <c r="O40">
        <v>509</v>
      </c>
    </row>
    <row r="41" spans="1:15" x14ac:dyDescent="0.25">
      <c r="A41" s="1">
        <v>159.45699999999999</v>
      </c>
      <c r="B41" s="1" t="s">
        <v>15</v>
      </c>
      <c r="C41" s="1" t="s">
        <v>18</v>
      </c>
      <c r="D41">
        <v>500</v>
      </c>
      <c r="E41">
        <v>500</v>
      </c>
      <c r="F41">
        <v>500</v>
      </c>
      <c r="G41" s="1">
        <v>2739.18</v>
      </c>
      <c r="H41" s="1">
        <v>0.193</v>
      </c>
      <c r="I41" s="1">
        <v>9.4</v>
      </c>
      <c r="J41" s="1">
        <v>1</v>
      </c>
      <c r="K41" s="1">
        <v>46056.2</v>
      </c>
      <c r="L41" s="1">
        <v>3558.9</v>
      </c>
      <c r="M41" s="1">
        <v>89</v>
      </c>
      <c r="N41" s="1">
        <v>89</v>
      </c>
      <c r="O41">
        <v>509</v>
      </c>
    </row>
    <row r="42" spans="1:15" x14ac:dyDescent="0.25">
      <c r="A42" s="1">
        <v>160.458</v>
      </c>
      <c r="B42" s="1" t="s">
        <v>15</v>
      </c>
      <c r="C42" s="1" t="s">
        <v>18</v>
      </c>
      <c r="D42">
        <v>500</v>
      </c>
      <c r="E42">
        <v>500</v>
      </c>
      <c r="F42">
        <v>500</v>
      </c>
      <c r="G42" s="1">
        <v>2729.1579999999999</v>
      </c>
      <c r="H42" s="1">
        <v>0.2228</v>
      </c>
      <c r="I42" s="1">
        <v>9.5</v>
      </c>
      <c r="J42" s="1">
        <v>1.0009999999999999</v>
      </c>
      <c r="K42" s="1">
        <v>45962.3</v>
      </c>
      <c r="L42" s="1">
        <v>3594.9</v>
      </c>
      <c r="M42" s="1">
        <v>89.9</v>
      </c>
      <c r="N42" s="1">
        <v>89.9</v>
      </c>
      <c r="O42">
        <v>509</v>
      </c>
    </row>
    <row r="43" spans="1:15" x14ac:dyDescent="0.25">
      <c r="A43" s="1">
        <v>161.459</v>
      </c>
      <c r="B43" s="1" t="s">
        <v>15</v>
      </c>
      <c r="C43" s="1" t="s">
        <v>18</v>
      </c>
      <c r="D43">
        <v>500</v>
      </c>
      <c r="E43">
        <v>500</v>
      </c>
      <c r="F43">
        <v>500</v>
      </c>
      <c r="G43" s="1">
        <v>2778.4290000000001</v>
      </c>
      <c r="H43" s="1">
        <v>0.2288</v>
      </c>
      <c r="I43" s="1">
        <v>9.4</v>
      </c>
      <c r="J43" s="1">
        <v>1.0009999999999999</v>
      </c>
      <c r="K43" s="1">
        <v>46729.599999999999</v>
      </c>
      <c r="L43" s="1">
        <v>3598</v>
      </c>
      <c r="M43" s="1">
        <v>89.9</v>
      </c>
      <c r="N43" s="1">
        <v>89.9</v>
      </c>
      <c r="O43">
        <v>509</v>
      </c>
    </row>
    <row r="44" spans="1:15" x14ac:dyDescent="0.25">
      <c r="A44" s="1">
        <v>162.46</v>
      </c>
      <c r="B44" s="1" t="s">
        <v>15</v>
      </c>
      <c r="C44" s="1" t="s">
        <v>18</v>
      </c>
      <c r="D44">
        <v>500</v>
      </c>
      <c r="E44">
        <v>500</v>
      </c>
      <c r="F44">
        <v>500</v>
      </c>
      <c r="G44" s="1">
        <v>2780.413</v>
      </c>
      <c r="H44" s="1">
        <v>0.23810000000000001</v>
      </c>
      <c r="I44" s="1">
        <v>9.1999999999999993</v>
      </c>
      <c r="J44" s="1">
        <v>1.0009999999999999</v>
      </c>
      <c r="K44" s="1">
        <v>46743.7</v>
      </c>
      <c r="L44" s="1">
        <v>3595.4</v>
      </c>
      <c r="M44" s="1">
        <v>89.9</v>
      </c>
      <c r="N44" s="1">
        <v>89.9</v>
      </c>
      <c r="O44">
        <v>509</v>
      </c>
    </row>
    <row r="45" spans="1:15" x14ac:dyDescent="0.25">
      <c r="A45" s="1">
        <v>163.465</v>
      </c>
      <c r="B45" s="1" t="s">
        <v>15</v>
      </c>
      <c r="C45" s="1" t="s">
        <v>18</v>
      </c>
      <c r="D45">
        <v>500</v>
      </c>
      <c r="E45">
        <v>500</v>
      </c>
      <c r="F45">
        <v>500</v>
      </c>
      <c r="G45" s="1">
        <v>2773.973</v>
      </c>
      <c r="H45" s="1">
        <v>0.2346</v>
      </c>
      <c r="I45" s="1">
        <v>9.1999999999999993</v>
      </c>
      <c r="J45" s="1">
        <v>1.0049999999999999</v>
      </c>
      <c r="K45" s="1">
        <v>46646.1</v>
      </c>
      <c r="L45" s="1">
        <v>3581.9</v>
      </c>
      <c r="M45" s="1">
        <v>89.5</v>
      </c>
      <c r="N45" s="1">
        <v>89.5</v>
      </c>
      <c r="O45">
        <v>509</v>
      </c>
    </row>
    <row r="46" spans="1:15" x14ac:dyDescent="0.25">
      <c r="A46" s="1">
        <v>164.471</v>
      </c>
      <c r="B46" s="1" t="s">
        <v>15</v>
      </c>
      <c r="C46" s="1" t="s">
        <v>18</v>
      </c>
      <c r="D46">
        <v>500</v>
      </c>
      <c r="E46">
        <v>500</v>
      </c>
      <c r="F46">
        <v>500</v>
      </c>
      <c r="G46" s="1">
        <v>2772.864</v>
      </c>
      <c r="H46" s="1">
        <v>0.22670000000000001</v>
      </c>
      <c r="I46" s="1">
        <v>9</v>
      </c>
      <c r="J46" s="1">
        <v>1.006</v>
      </c>
      <c r="K46" s="1">
        <v>46651.5</v>
      </c>
      <c r="L46" s="1">
        <v>3579.2</v>
      </c>
      <c r="M46" s="1">
        <v>89.5</v>
      </c>
      <c r="N46" s="1">
        <v>89.5</v>
      </c>
      <c r="O46">
        <v>509</v>
      </c>
    </row>
    <row r="47" spans="1:15" x14ac:dyDescent="0.25">
      <c r="A47" s="1">
        <v>165.47499999999999</v>
      </c>
      <c r="B47" s="1" t="s">
        <v>15</v>
      </c>
      <c r="C47" s="1" t="s">
        <v>18</v>
      </c>
      <c r="D47">
        <v>500</v>
      </c>
      <c r="E47">
        <v>500</v>
      </c>
      <c r="F47">
        <v>500</v>
      </c>
      <c r="G47" s="1">
        <v>2782.0830000000001</v>
      </c>
      <c r="H47" s="1">
        <v>0.21740000000000001</v>
      </c>
      <c r="I47" s="1">
        <v>9</v>
      </c>
      <c r="J47" s="1">
        <v>1.0049999999999999</v>
      </c>
      <c r="K47" s="1">
        <v>46850.5</v>
      </c>
      <c r="L47" s="1">
        <v>3623.2</v>
      </c>
      <c r="M47" s="1">
        <v>91.6</v>
      </c>
      <c r="N47" s="1">
        <v>90.6</v>
      </c>
      <c r="O47">
        <v>509</v>
      </c>
    </row>
    <row r="48" spans="1:15" x14ac:dyDescent="0.25">
      <c r="A48" s="1">
        <v>166.48500000000001</v>
      </c>
      <c r="B48" s="1" t="s">
        <v>15</v>
      </c>
      <c r="C48" s="1" t="s">
        <v>18</v>
      </c>
      <c r="D48">
        <v>500</v>
      </c>
      <c r="E48">
        <v>500</v>
      </c>
      <c r="F48">
        <v>500</v>
      </c>
      <c r="G48" s="1">
        <v>2778.951</v>
      </c>
      <c r="H48" s="1">
        <v>0.21360000000000001</v>
      </c>
      <c r="I48" s="1">
        <v>9</v>
      </c>
      <c r="J48" s="1">
        <v>1.01</v>
      </c>
      <c r="K48" s="1">
        <v>46745.2</v>
      </c>
      <c r="L48" s="1">
        <v>3603.6</v>
      </c>
      <c r="M48" s="1">
        <v>90.1</v>
      </c>
      <c r="N48" s="1">
        <v>90.1</v>
      </c>
      <c r="O48">
        <v>509</v>
      </c>
    </row>
    <row r="49" spans="1:15" x14ac:dyDescent="0.25">
      <c r="A49" s="1">
        <v>167.49</v>
      </c>
      <c r="B49" s="1" t="s">
        <v>15</v>
      </c>
      <c r="C49" s="1" t="s">
        <v>18</v>
      </c>
      <c r="D49">
        <v>500</v>
      </c>
      <c r="E49">
        <v>500</v>
      </c>
      <c r="F49">
        <v>500</v>
      </c>
      <c r="G49" s="1">
        <v>2778.5889999999999</v>
      </c>
      <c r="H49" s="1">
        <v>0.2021</v>
      </c>
      <c r="I49" s="1">
        <v>9.1999999999999993</v>
      </c>
      <c r="J49" s="1">
        <v>1.004</v>
      </c>
      <c r="K49" s="1">
        <v>46724.1</v>
      </c>
      <c r="L49" s="1">
        <v>3585.3</v>
      </c>
      <c r="M49" s="1">
        <v>89.6</v>
      </c>
      <c r="N49" s="1">
        <v>89.6</v>
      </c>
      <c r="O49">
        <v>509</v>
      </c>
    </row>
    <row r="50" spans="1:15" x14ac:dyDescent="0.25">
      <c r="A50" s="1">
        <v>168.49700000000001</v>
      </c>
      <c r="B50" s="1" t="s">
        <v>15</v>
      </c>
      <c r="C50" s="1" t="s">
        <v>18</v>
      </c>
      <c r="D50">
        <v>500</v>
      </c>
      <c r="E50">
        <v>500</v>
      </c>
      <c r="F50">
        <v>500</v>
      </c>
      <c r="G50" s="1">
        <v>2767.799</v>
      </c>
      <c r="H50" s="1">
        <v>0.1971</v>
      </c>
      <c r="I50" s="1">
        <v>9.1</v>
      </c>
      <c r="J50" s="1">
        <v>1.008</v>
      </c>
      <c r="K50" s="1">
        <v>46622.9</v>
      </c>
      <c r="L50" s="1">
        <v>3612.3</v>
      </c>
      <c r="M50" s="1">
        <v>91.3</v>
      </c>
      <c r="N50" s="1">
        <v>90.3</v>
      </c>
      <c r="O50">
        <v>509</v>
      </c>
    </row>
    <row r="51" spans="1:15" x14ac:dyDescent="0.25">
      <c r="A51" s="1">
        <v>169.49700000000001</v>
      </c>
      <c r="B51" s="1" t="s">
        <v>15</v>
      </c>
      <c r="C51" s="1" t="s">
        <v>18</v>
      </c>
      <c r="D51">
        <v>500</v>
      </c>
      <c r="E51">
        <v>500</v>
      </c>
      <c r="F51">
        <v>500</v>
      </c>
      <c r="G51" s="1">
        <v>2791.2280000000001</v>
      </c>
      <c r="H51" s="1">
        <v>0.18629999999999999</v>
      </c>
      <c r="I51" s="1">
        <v>9.1999999999999993</v>
      </c>
      <c r="J51" s="1">
        <v>1</v>
      </c>
      <c r="K51" s="1">
        <v>46914</v>
      </c>
      <c r="L51" s="1">
        <v>3599</v>
      </c>
      <c r="M51" s="1">
        <v>90</v>
      </c>
      <c r="N51" s="1">
        <v>90</v>
      </c>
      <c r="O51">
        <v>509</v>
      </c>
    </row>
    <row r="52" spans="1:15" x14ac:dyDescent="0.25">
      <c r="A52" s="1">
        <v>170.50800000000001</v>
      </c>
      <c r="B52" s="1" t="s">
        <v>15</v>
      </c>
      <c r="C52" s="1" t="s">
        <v>18</v>
      </c>
      <c r="D52">
        <v>500</v>
      </c>
      <c r="E52">
        <v>500</v>
      </c>
      <c r="F52">
        <v>500</v>
      </c>
      <c r="G52" s="1">
        <v>2784.0189999999998</v>
      </c>
      <c r="H52" s="1">
        <v>0.17780000000000001</v>
      </c>
      <c r="I52" s="1">
        <v>9.1999999999999993</v>
      </c>
      <c r="J52" s="1">
        <v>1.01</v>
      </c>
      <c r="K52" s="1">
        <v>46832.5</v>
      </c>
      <c r="L52" s="1">
        <v>3602.5</v>
      </c>
      <c r="M52" s="1">
        <v>90.1</v>
      </c>
      <c r="N52" s="1">
        <v>90.1</v>
      </c>
      <c r="O52">
        <v>509</v>
      </c>
    </row>
    <row r="53" spans="1:15" x14ac:dyDescent="0.25">
      <c r="A53" s="1">
        <v>171.50899999999999</v>
      </c>
      <c r="B53" s="1" t="s">
        <v>15</v>
      </c>
      <c r="C53" s="1" t="s">
        <v>18</v>
      </c>
      <c r="D53">
        <v>500</v>
      </c>
      <c r="E53">
        <v>500</v>
      </c>
      <c r="F53">
        <v>500</v>
      </c>
      <c r="G53" s="1">
        <v>2770.8629999999998</v>
      </c>
      <c r="H53" s="1">
        <v>0.1681</v>
      </c>
      <c r="I53" s="1">
        <v>9.1</v>
      </c>
      <c r="J53" s="1">
        <v>1.0009999999999999</v>
      </c>
      <c r="K53" s="1">
        <v>46600.1</v>
      </c>
      <c r="L53" s="1">
        <v>3597.2</v>
      </c>
      <c r="M53" s="1">
        <v>89.9</v>
      </c>
      <c r="N53" s="1">
        <v>89.9</v>
      </c>
      <c r="O53">
        <v>509</v>
      </c>
    </row>
    <row r="54" spans="1:15" x14ac:dyDescent="0.25">
      <c r="A54" s="1">
        <v>172.51900000000001</v>
      </c>
      <c r="B54" s="1" t="s">
        <v>15</v>
      </c>
      <c r="C54" s="1" t="s">
        <v>18</v>
      </c>
      <c r="D54">
        <v>500</v>
      </c>
      <c r="E54">
        <v>500</v>
      </c>
      <c r="F54">
        <v>500</v>
      </c>
      <c r="G54" s="1">
        <v>2785.098</v>
      </c>
      <c r="H54" s="1">
        <v>0.16</v>
      </c>
      <c r="I54" s="1">
        <v>9.1999999999999993</v>
      </c>
      <c r="J54" s="1">
        <v>1.01</v>
      </c>
      <c r="K54" s="1">
        <v>46850.8</v>
      </c>
      <c r="L54" s="1">
        <v>3602.6</v>
      </c>
      <c r="M54" s="1">
        <v>90.1</v>
      </c>
      <c r="N54" s="1">
        <v>90.1</v>
      </c>
      <c r="O54">
        <v>509</v>
      </c>
    </row>
    <row r="55" spans="1:15" x14ac:dyDescent="0.25">
      <c r="A55" s="1">
        <v>173.52600000000001</v>
      </c>
      <c r="B55" s="1" t="s">
        <v>15</v>
      </c>
      <c r="C55" s="1" t="s">
        <v>18</v>
      </c>
      <c r="D55">
        <v>500</v>
      </c>
      <c r="E55">
        <v>500</v>
      </c>
      <c r="F55">
        <v>500</v>
      </c>
      <c r="G55" s="1">
        <v>2792.7539999999999</v>
      </c>
      <c r="H55" s="1">
        <v>0.15390000000000001</v>
      </c>
      <c r="I55" s="1">
        <v>9.1</v>
      </c>
      <c r="J55" s="1">
        <v>1.0069999999999999</v>
      </c>
      <c r="K55" s="1">
        <v>46905</v>
      </c>
      <c r="L55" s="1">
        <v>3534.4</v>
      </c>
      <c r="M55" s="1">
        <v>89.4</v>
      </c>
      <c r="N55" s="1">
        <v>88.4</v>
      </c>
      <c r="O55">
        <v>509</v>
      </c>
    </row>
    <row r="56" spans="1:15" x14ac:dyDescent="0.25">
      <c r="A56" s="1">
        <v>174.536</v>
      </c>
      <c r="B56" s="1" t="s">
        <v>15</v>
      </c>
      <c r="C56" s="1" t="s">
        <v>18</v>
      </c>
      <c r="D56">
        <v>500</v>
      </c>
      <c r="E56">
        <v>500</v>
      </c>
      <c r="F56">
        <v>500</v>
      </c>
      <c r="G56" s="1">
        <v>2778.8</v>
      </c>
      <c r="H56" s="1">
        <v>0.1487</v>
      </c>
      <c r="I56" s="1">
        <v>9.1</v>
      </c>
      <c r="J56" s="1">
        <v>1.0089999999999999</v>
      </c>
      <c r="K56" s="1">
        <v>46794.8</v>
      </c>
      <c r="L56" s="1">
        <v>3645.6</v>
      </c>
      <c r="M56" s="1">
        <v>91.1</v>
      </c>
      <c r="N56" s="1">
        <v>91.1</v>
      </c>
      <c r="O56">
        <v>509</v>
      </c>
    </row>
    <row r="57" spans="1:15" x14ac:dyDescent="0.25">
      <c r="A57" s="1">
        <v>175.536</v>
      </c>
      <c r="B57" s="1" t="s">
        <v>15</v>
      </c>
      <c r="C57" s="1" t="s">
        <v>18</v>
      </c>
      <c r="D57">
        <v>500</v>
      </c>
      <c r="E57">
        <v>500</v>
      </c>
      <c r="F57">
        <v>500</v>
      </c>
      <c r="G57" s="1">
        <v>2782.3229999999999</v>
      </c>
      <c r="H57" s="1">
        <v>0.13489999999999999</v>
      </c>
      <c r="I57" s="1">
        <v>9</v>
      </c>
      <c r="J57" s="1">
        <v>1.0009999999999999</v>
      </c>
      <c r="K57" s="1">
        <v>46829.8</v>
      </c>
      <c r="L57" s="1">
        <v>3597.8</v>
      </c>
      <c r="M57" s="1">
        <v>90.9</v>
      </c>
      <c r="N57" s="1">
        <v>89.9</v>
      </c>
      <c r="O57">
        <v>509</v>
      </c>
    </row>
    <row r="58" spans="1:15" x14ac:dyDescent="0.25">
      <c r="A58" s="1">
        <v>176.547</v>
      </c>
      <c r="B58" s="1" t="s">
        <v>15</v>
      </c>
      <c r="C58" s="1" t="s">
        <v>18</v>
      </c>
      <c r="D58">
        <v>500</v>
      </c>
      <c r="E58">
        <v>500</v>
      </c>
      <c r="F58">
        <v>500</v>
      </c>
      <c r="G58" s="1">
        <v>2766.8209999999999</v>
      </c>
      <c r="H58" s="1">
        <v>0.13200000000000001</v>
      </c>
      <c r="I58" s="1">
        <v>9</v>
      </c>
      <c r="J58" s="1">
        <v>1.0109999999999999</v>
      </c>
      <c r="K58" s="1">
        <v>46556</v>
      </c>
      <c r="L58" s="1">
        <v>3602</v>
      </c>
      <c r="M58" s="1">
        <v>90.1</v>
      </c>
      <c r="N58" s="1">
        <v>90.1</v>
      </c>
      <c r="O58">
        <v>509</v>
      </c>
    </row>
    <row r="59" spans="1:15" x14ac:dyDescent="0.25">
      <c r="A59" s="1">
        <v>177.55799999999999</v>
      </c>
      <c r="B59" s="1" t="s">
        <v>15</v>
      </c>
      <c r="C59" s="1" t="s">
        <v>18</v>
      </c>
      <c r="D59">
        <v>500</v>
      </c>
      <c r="E59">
        <v>500</v>
      </c>
      <c r="F59">
        <v>500</v>
      </c>
      <c r="G59" s="1">
        <v>2781.348</v>
      </c>
      <c r="H59" s="1">
        <v>0.12670000000000001</v>
      </c>
      <c r="I59" s="1">
        <v>9.1999999999999993</v>
      </c>
      <c r="J59" s="1">
        <v>1.0109999999999999</v>
      </c>
      <c r="K59" s="1">
        <v>46817.9</v>
      </c>
      <c r="L59" s="1">
        <v>3601.6</v>
      </c>
      <c r="M59" s="1">
        <v>91</v>
      </c>
      <c r="N59" s="1">
        <v>90</v>
      </c>
      <c r="O59">
        <v>509</v>
      </c>
    </row>
    <row r="60" spans="1:15" x14ac:dyDescent="0.25">
      <c r="A60" s="1">
        <v>178.559</v>
      </c>
      <c r="B60" s="1" t="s">
        <v>15</v>
      </c>
      <c r="C60" s="1" t="s">
        <v>18</v>
      </c>
      <c r="D60">
        <v>500</v>
      </c>
      <c r="E60">
        <v>500</v>
      </c>
      <c r="F60">
        <v>500</v>
      </c>
      <c r="G60" s="1">
        <v>2792.69</v>
      </c>
      <c r="H60" s="1">
        <v>0.1154</v>
      </c>
      <c r="I60" s="1">
        <v>9</v>
      </c>
      <c r="J60" s="1">
        <v>1.002</v>
      </c>
      <c r="K60" s="1">
        <v>46947.7</v>
      </c>
      <c r="L60" s="1">
        <v>3593.2</v>
      </c>
      <c r="M60" s="1">
        <v>89.8</v>
      </c>
      <c r="N60" s="1">
        <v>89.8</v>
      </c>
      <c r="O60">
        <v>509</v>
      </c>
    </row>
    <row r="61" spans="1:15" x14ac:dyDescent="0.25">
      <c r="A61" s="1">
        <v>179.56899999999999</v>
      </c>
      <c r="B61" s="1" t="s">
        <v>15</v>
      </c>
      <c r="C61" s="1" t="s">
        <v>18</v>
      </c>
      <c r="D61">
        <v>500</v>
      </c>
      <c r="E61">
        <v>500</v>
      </c>
      <c r="F61">
        <v>500</v>
      </c>
      <c r="G61" s="1">
        <v>2769.212</v>
      </c>
      <c r="H61" s="1">
        <v>0.1101</v>
      </c>
      <c r="I61" s="1">
        <v>9.1999999999999993</v>
      </c>
      <c r="J61" s="1">
        <v>1.01</v>
      </c>
      <c r="K61" s="1">
        <v>46602.400000000001</v>
      </c>
      <c r="L61" s="1">
        <v>3603.8</v>
      </c>
      <c r="M61" s="1">
        <v>90.1</v>
      </c>
      <c r="N61" s="1">
        <v>90.1</v>
      </c>
      <c r="O61">
        <v>509</v>
      </c>
    </row>
    <row r="62" spans="1:15" x14ac:dyDescent="0.25">
      <c r="A62" s="1">
        <v>180.57</v>
      </c>
      <c r="B62" s="1" t="s">
        <v>15</v>
      </c>
      <c r="C62" s="1" t="s">
        <v>18</v>
      </c>
      <c r="D62">
        <v>500</v>
      </c>
      <c r="E62">
        <v>500</v>
      </c>
      <c r="F62">
        <v>500</v>
      </c>
      <c r="G62" s="1">
        <v>2792.0819999999999</v>
      </c>
      <c r="H62" s="1">
        <v>9.8000000000000004E-2</v>
      </c>
      <c r="I62" s="1">
        <v>9.1999999999999993</v>
      </c>
      <c r="J62" s="1">
        <v>1</v>
      </c>
      <c r="K62" s="1">
        <v>46955.6</v>
      </c>
      <c r="L62" s="1">
        <v>3598.8</v>
      </c>
      <c r="M62" s="1">
        <v>90</v>
      </c>
      <c r="N62" s="1">
        <v>90</v>
      </c>
      <c r="O62">
        <v>509</v>
      </c>
    </row>
    <row r="63" spans="1:15" x14ac:dyDescent="0.25">
      <c r="A63" s="1">
        <v>181.57</v>
      </c>
      <c r="B63" s="1" t="s">
        <v>15</v>
      </c>
      <c r="C63" s="1" t="s">
        <v>18</v>
      </c>
      <c r="D63">
        <v>500</v>
      </c>
      <c r="E63">
        <v>500</v>
      </c>
      <c r="F63">
        <v>500</v>
      </c>
      <c r="G63" s="1">
        <v>2782.0070000000001</v>
      </c>
      <c r="H63" s="1">
        <v>9.0700000000000003E-2</v>
      </c>
      <c r="I63" s="1">
        <v>9.1999999999999993</v>
      </c>
      <c r="J63" s="1">
        <v>1</v>
      </c>
      <c r="K63" s="1">
        <v>46786.3</v>
      </c>
      <c r="L63" s="1">
        <v>3598.7</v>
      </c>
      <c r="M63" s="1">
        <v>90</v>
      </c>
      <c r="N63" s="1">
        <v>90</v>
      </c>
      <c r="O63">
        <v>509</v>
      </c>
    </row>
    <row r="64" spans="1:15" x14ac:dyDescent="0.25">
      <c r="A64" s="1">
        <v>182.572</v>
      </c>
      <c r="B64" s="1" t="s">
        <v>15</v>
      </c>
      <c r="C64" s="1" t="s">
        <v>18</v>
      </c>
      <c r="D64">
        <v>500</v>
      </c>
      <c r="E64">
        <v>500</v>
      </c>
      <c r="F64">
        <v>500</v>
      </c>
      <c r="G64" s="1">
        <v>2773.4079999999999</v>
      </c>
      <c r="H64" s="1">
        <v>8.3799999999999999E-2</v>
      </c>
      <c r="I64" s="1">
        <v>9.1999999999999993</v>
      </c>
      <c r="J64" s="1">
        <v>1.002</v>
      </c>
      <c r="K64" s="1">
        <v>46692.7</v>
      </c>
      <c r="L64" s="1">
        <v>3554.1</v>
      </c>
      <c r="M64" s="1">
        <v>90.8</v>
      </c>
      <c r="N64" s="1">
        <v>88.9</v>
      </c>
      <c r="O64">
        <v>509</v>
      </c>
    </row>
    <row r="65" spans="1:15" x14ac:dyDescent="0.25">
      <c r="A65" s="1">
        <v>183.57499999999999</v>
      </c>
      <c r="B65" s="1" t="s">
        <v>15</v>
      </c>
      <c r="C65" s="1" t="s">
        <v>18</v>
      </c>
      <c r="D65">
        <v>500</v>
      </c>
      <c r="E65">
        <v>500</v>
      </c>
      <c r="F65">
        <v>500</v>
      </c>
      <c r="G65" s="1">
        <v>2737.4780000000001</v>
      </c>
      <c r="H65" s="1">
        <v>9.6500000000000002E-2</v>
      </c>
      <c r="I65" s="1">
        <v>9.1999999999999993</v>
      </c>
      <c r="J65" s="1">
        <v>1.0029999999999999</v>
      </c>
      <c r="K65" s="1">
        <v>46079.7</v>
      </c>
      <c r="L65" s="1">
        <v>3507.8</v>
      </c>
      <c r="M65" s="1">
        <v>89.7</v>
      </c>
      <c r="N65" s="1">
        <v>87.7</v>
      </c>
      <c r="O65">
        <v>509</v>
      </c>
    </row>
    <row r="66" spans="1:15" x14ac:dyDescent="0.25">
      <c r="A66" s="1">
        <v>184.583</v>
      </c>
      <c r="B66" s="1" t="s">
        <v>15</v>
      </c>
      <c r="C66" s="1" t="s">
        <v>18</v>
      </c>
      <c r="D66">
        <v>500</v>
      </c>
      <c r="E66">
        <v>500</v>
      </c>
      <c r="F66">
        <v>500</v>
      </c>
      <c r="G66" s="1">
        <v>2766.7979999999998</v>
      </c>
      <c r="H66" s="1">
        <v>0.1115</v>
      </c>
      <c r="I66" s="1">
        <v>9.1</v>
      </c>
      <c r="J66" s="1">
        <v>1.0069999999999999</v>
      </c>
      <c r="K66" s="1">
        <v>46598.8</v>
      </c>
      <c r="L66" s="1">
        <v>3653.3</v>
      </c>
      <c r="M66" s="1">
        <v>91.3</v>
      </c>
      <c r="N66" s="1">
        <v>91.3</v>
      </c>
      <c r="O66">
        <v>509</v>
      </c>
    </row>
    <row r="67" spans="1:15" x14ac:dyDescent="0.25">
      <c r="A67" s="1">
        <v>185.59100000000001</v>
      </c>
      <c r="B67" s="1" t="s">
        <v>15</v>
      </c>
      <c r="C67" s="1" t="s">
        <v>18</v>
      </c>
      <c r="D67">
        <v>500</v>
      </c>
      <c r="E67">
        <v>500</v>
      </c>
      <c r="F67">
        <v>500</v>
      </c>
      <c r="G67" s="1">
        <v>2775.4780000000001</v>
      </c>
      <c r="H67" s="1">
        <v>0.11849999999999999</v>
      </c>
      <c r="I67" s="1">
        <v>8.9</v>
      </c>
      <c r="J67" s="1">
        <v>1.008</v>
      </c>
      <c r="K67" s="1">
        <v>46692.3</v>
      </c>
      <c r="L67" s="1">
        <v>3609.4</v>
      </c>
      <c r="M67" s="1">
        <v>90.2</v>
      </c>
      <c r="N67" s="1">
        <v>90.2</v>
      </c>
      <c r="O67">
        <v>509</v>
      </c>
    </row>
    <row r="68" spans="1:15" x14ac:dyDescent="0.25">
      <c r="A68" s="1">
        <v>186.59399999999999</v>
      </c>
      <c r="B68" s="1" t="s">
        <v>15</v>
      </c>
      <c r="C68" s="1" t="s">
        <v>18</v>
      </c>
      <c r="D68">
        <v>500</v>
      </c>
      <c r="E68">
        <v>500</v>
      </c>
      <c r="F68">
        <v>500</v>
      </c>
      <c r="G68" s="1">
        <v>2737.8310000000001</v>
      </c>
      <c r="H68" s="1">
        <v>0.15709999999999999</v>
      </c>
      <c r="I68" s="1">
        <v>8.9</v>
      </c>
      <c r="J68" s="1">
        <v>1.0029999999999999</v>
      </c>
      <c r="K68" s="1">
        <v>46074.400000000001</v>
      </c>
      <c r="L68" s="1">
        <v>3590.6</v>
      </c>
      <c r="M68" s="1">
        <v>89.8</v>
      </c>
      <c r="N68" s="1">
        <v>89.8</v>
      </c>
      <c r="O68">
        <v>509</v>
      </c>
    </row>
    <row r="69" spans="1:15" x14ac:dyDescent="0.25">
      <c r="A69" s="1">
        <v>187.60300000000001</v>
      </c>
      <c r="B69" s="1" t="s">
        <v>15</v>
      </c>
      <c r="C69" s="1" t="s">
        <v>18</v>
      </c>
      <c r="D69">
        <v>500</v>
      </c>
      <c r="E69">
        <v>500</v>
      </c>
      <c r="F69">
        <v>500</v>
      </c>
      <c r="G69" s="1">
        <v>2751.4270000000001</v>
      </c>
      <c r="H69" s="1">
        <v>0.1714</v>
      </c>
      <c r="I69" s="1">
        <v>8.9</v>
      </c>
      <c r="J69" s="1">
        <v>1.0089999999999999</v>
      </c>
      <c r="K69" s="1">
        <v>46305.599999999999</v>
      </c>
      <c r="L69" s="1">
        <v>3606.5</v>
      </c>
      <c r="M69" s="1">
        <v>90.2</v>
      </c>
      <c r="N69" s="1">
        <v>90.2</v>
      </c>
      <c r="O69">
        <v>509</v>
      </c>
    </row>
    <row r="70" spans="1:15" x14ac:dyDescent="0.25">
      <c r="A70" s="1">
        <v>188.60499999999999</v>
      </c>
      <c r="B70" s="1" t="s">
        <v>15</v>
      </c>
      <c r="C70" s="1" t="s">
        <v>18</v>
      </c>
      <c r="D70">
        <v>500</v>
      </c>
      <c r="E70">
        <v>500</v>
      </c>
      <c r="F70">
        <v>500</v>
      </c>
      <c r="G70" s="1">
        <v>2758.6840000000002</v>
      </c>
      <c r="H70" s="1">
        <v>0.1933</v>
      </c>
      <c r="I70" s="1">
        <v>9</v>
      </c>
      <c r="J70" s="1">
        <v>1.002</v>
      </c>
      <c r="K70" s="1">
        <v>46415.7</v>
      </c>
      <c r="L70" s="1">
        <v>3591.8</v>
      </c>
      <c r="M70" s="1">
        <v>89.8</v>
      </c>
      <c r="N70" s="1">
        <v>89.8</v>
      </c>
      <c r="O70">
        <v>509</v>
      </c>
    </row>
    <row r="71" spans="1:15" x14ac:dyDescent="0.25">
      <c r="A71" s="1">
        <v>189.614</v>
      </c>
      <c r="B71" s="1" t="s">
        <v>15</v>
      </c>
      <c r="C71" s="1" t="s">
        <v>18</v>
      </c>
      <c r="D71">
        <v>500</v>
      </c>
      <c r="E71">
        <v>500</v>
      </c>
      <c r="F71">
        <v>500</v>
      </c>
      <c r="G71" s="1">
        <v>2761.5340000000001</v>
      </c>
      <c r="H71" s="1">
        <v>0.21299999999999999</v>
      </c>
      <c r="I71" s="1">
        <v>9.1</v>
      </c>
      <c r="J71" s="1">
        <v>1.0089999999999999</v>
      </c>
      <c r="K71" s="1">
        <v>46502</v>
      </c>
      <c r="L71" s="1">
        <v>3608</v>
      </c>
      <c r="M71" s="1">
        <v>91.2</v>
      </c>
      <c r="N71" s="1">
        <v>90.2</v>
      </c>
      <c r="O71">
        <v>509</v>
      </c>
    </row>
    <row r="72" spans="1:15" x14ac:dyDescent="0.25">
      <c r="A72" s="1">
        <v>190.625</v>
      </c>
      <c r="B72" s="1" t="s">
        <v>15</v>
      </c>
      <c r="C72" s="1" t="s">
        <v>18</v>
      </c>
      <c r="D72">
        <v>500</v>
      </c>
      <c r="E72">
        <v>500</v>
      </c>
      <c r="F72">
        <v>500</v>
      </c>
      <c r="G72" s="1">
        <v>2765.3989999999999</v>
      </c>
      <c r="H72" s="1">
        <v>0.221</v>
      </c>
      <c r="I72" s="1">
        <v>9.1</v>
      </c>
      <c r="J72" s="1">
        <v>1.0109999999999999</v>
      </c>
      <c r="K72" s="1">
        <v>46517.1</v>
      </c>
      <c r="L72" s="1">
        <v>3601.4</v>
      </c>
      <c r="M72" s="1">
        <v>90</v>
      </c>
      <c r="N72" s="1">
        <v>90</v>
      </c>
      <c r="O72">
        <v>509</v>
      </c>
    </row>
    <row r="73" spans="1:15" x14ac:dyDescent="0.25">
      <c r="A73" s="1">
        <v>191.626</v>
      </c>
      <c r="B73" s="1" t="s">
        <v>15</v>
      </c>
      <c r="C73" s="1" t="s">
        <v>18</v>
      </c>
      <c r="D73">
        <v>500</v>
      </c>
      <c r="E73">
        <v>500</v>
      </c>
      <c r="F73">
        <v>500</v>
      </c>
      <c r="G73" s="1">
        <v>2764.1109999999999</v>
      </c>
      <c r="H73" s="1">
        <v>0.22650000000000001</v>
      </c>
      <c r="I73" s="1">
        <v>9.1</v>
      </c>
      <c r="J73" s="1">
        <v>1.0009999999999999</v>
      </c>
      <c r="K73" s="1">
        <v>46509.4</v>
      </c>
      <c r="L73" s="1">
        <v>3596.2</v>
      </c>
      <c r="M73" s="1">
        <v>89.9</v>
      </c>
      <c r="N73" s="1">
        <v>89.9</v>
      </c>
      <c r="O73">
        <v>509</v>
      </c>
    </row>
    <row r="74" spans="1:15" x14ac:dyDescent="0.25">
      <c r="A74" s="1">
        <v>192.626</v>
      </c>
      <c r="B74" s="1" t="s">
        <v>15</v>
      </c>
      <c r="C74" s="1" t="s">
        <v>18</v>
      </c>
      <c r="D74">
        <v>500</v>
      </c>
      <c r="E74">
        <v>500</v>
      </c>
      <c r="F74">
        <v>500</v>
      </c>
      <c r="G74" s="1">
        <v>2767.5830000000001</v>
      </c>
      <c r="H74" s="1">
        <v>0.2311</v>
      </c>
      <c r="I74" s="1">
        <v>9.1</v>
      </c>
      <c r="J74" s="1">
        <v>1</v>
      </c>
      <c r="K74" s="1">
        <v>46560</v>
      </c>
      <c r="L74" s="1">
        <v>3599.5</v>
      </c>
      <c r="M74" s="1">
        <v>90</v>
      </c>
      <c r="N74" s="1">
        <v>90</v>
      </c>
      <c r="O74">
        <v>509</v>
      </c>
    </row>
    <row r="75" spans="1:15" x14ac:dyDescent="0.25">
      <c r="A75" s="1">
        <v>193.62799999999999</v>
      </c>
      <c r="B75" s="1" t="s">
        <v>15</v>
      </c>
      <c r="C75" s="1" t="s">
        <v>18</v>
      </c>
      <c r="D75">
        <v>500</v>
      </c>
      <c r="E75">
        <v>500</v>
      </c>
      <c r="F75">
        <v>500</v>
      </c>
      <c r="G75" s="1">
        <v>2770.114</v>
      </c>
      <c r="H75" s="1">
        <v>0.23050000000000001</v>
      </c>
      <c r="I75" s="1">
        <v>9.1</v>
      </c>
      <c r="J75" s="1">
        <v>1.002</v>
      </c>
      <c r="K75" s="1">
        <v>46554.9</v>
      </c>
      <c r="L75" s="1">
        <v>3553.7</v>
      </c>
      <c r="M75" s="1">
        <v>88.8</v>
      </c>
      <c r="N75" s="1">
        <v>88.8</v>
      </c>
      <c r="O75">
        <v>509</v>
      </c>
    </row>
    <row r="76" spans="1:15" x14ac:dyDescent="0.25">
      <c r="A76" s="1">
        <v>194.62899999999999</v>
      </c>
      <c r="B76" s="1" t="s">
        <v>15</v>
      </c>
      <c r="C76" s="1" t="s">
        <v>18</v>
      </c>
      <c r="D76">
        <v>500</v>
      </c>
      <c r="E76">
        <v>500</v>
      </c>
      <c r="F76">
        <v>500</v>
      </c>
      <c r="G76" s="1">
        <v>2791.5680000000002</v>
      </c>
      <c r="H76" s="1">
        <v>0.22070000000000001</v>
      </c>
      <c r="I76" s="1">
        <v>9.1</v>
      </c>
      <c r="J76" s="1">
        <v>1.002</v>
      </c>
      <c r="K76" s="1">
        <v>46967.4</v>
      </c>
      <c r="L76" s="1">
        <v>3634.2</v>
      </c>
      <c r="M76" s="1">
        <v>90.9</v>
      </c>
      <c r="N76" s="1">
        <v>90.9</v>
      </c>
      <c r="O76">
        <v>509</v>
      </c>
    </row>
    <row r="77" spans="1:15" x14ac:dyDescent="0.25">
      <c r="A77" s="1">
        <v>195.64</v>
      </c>
      <c r="B77" s="1" t="s">
        <v>15</v>
      </c>
      <c r="C77" s="1" t="s">
        <v>18</v>
      </c>
      <c r="D77">
        <v>500</v>
      </c>
      <c r="E77">
        <v>500</v>
      </c>
      <c r="F77">
        <v>500</v>
      </c>
      <c r="G77" s="1">
        <v>2774.8809999999999</v>
      </c>
      <c r="H77" s="1">
        <v>0.2167</v>
      </c>
      <c r="I77" s="1">
        <v>9.1999999999999993</v>
      </c>
      <c r="J77" s="1">
        <v>1.01</v>
      </c>
      <c r="K77" s="1">
        <v>46677.2</v>
      </c>
      <c r="L77" s="1">
        <v>3602.2</v>
      </c>
      <c r="M77" s="1">
        <v>90.1</v>
      </c>
      <c r="N77" s="1">
        <v>90.1</v>
      </c>
      <c r="O77">
        <v>509</v>
      </c>
    </row>
    <row r="78" spans="1:15" x14ac:dyDescent="0.25">
      <c r="A78" s="1">
        <v>196.64</v>
      </c>
      <c r="B78" s="1" t="s">
        <v>15</v>
      </c>
      <c r="C78" s="1" t="s">
        <v>18</v>
      </c>
      <c r="D78">
        <v>500</v>
      </c>
      <c r="E78">
        <v>500</v>
      </c>
      <c r="F78">
        <v>500</v>
      </c>
      <c r="G78" s="1">
        <v>2785.4540000000002</v>
      </c>
      <c r="H78" s="1">
        <v>0.20710000000000001</v>
      </c>
      <c r="I78" s="1">
        <v>9.3000000000000007</v>
      </c>
      <c r="J78" s="1">
        <v>1</v>
      </c>
      <c r="K78" s="1">
        <v>46836.800000000003</v>
      </c>
      <c r="L78" s="1">
        <v>3599.3</v>
      </c>
      <c r="M78" s="1">
        <v>90</v>
      </c>
      <c r="N78" s="1">
        <v>90</v>
      </c>
      <c r="O78">
        <v>509</v>
      </c>
    </row>
    <row r="79" spans="1:15" x14ac:dyDescent="0.25">
      <c r="A79" s="1">
        <f>SUBTOTAL(101,RB_20261022_150633[client_time_s])</f>
        <v>158.45937662337661</v>
      </c>
      <c r="B79" s="1"/>
      <c r="C79" s="1"/>
      <c r="D79">
        <f>SUBTOTAL(101,RB_20261022_150633[configured_actors])</f>
        <v>500</v>
      </c>
      <c r="E79">
        <f>SUBTOTAL(101,RB_20261022_150633[observed_actors])</f>
        <v>500</v>
      </c>
      <c r="F79">
        <f>SUBTOTAL(101,RB_20261022_150633[actors_with_movement_samples])</f>
        <v>500</v>
      </c>
      <c r="G79" s="1">
        <f>SUBTOTAL(101,RB_20261022_150633[movement_events_per_s])</f>
        <v>2735.4315714285722</v>
      </c>
      <c r="H79" s="1">
        <f>SUBTOTAL(101,RB_20261022_150633[mean_age_since_event_s])</f>
        <v>0.16070779220779219</v>
      </c>
      <c r="I79" s="1">
        <f>SUBTOTAL(101,RB_20261022_150633[client_ping_ms])</f>
        <v>9.1844155844155875</v>
      </c>
      <c r="J79" s="1">
        <f>SUBTOTAL(101,RB_20261022_150633[net_sample_duration_s])</f>
        <v>1.0047105263157894</v>
      </c>
      <c r="K79" s="1">
        <f>SUBTOTAL(101,RB_20261022_150633[in_bytes_per_s])</f>
        <v>46638.630263157887</v>
      </c>
      <c r="L79" s="1">
        <f>SUBTOTAL(101,RB_20261022_150633[out_bytes_per_s])</f>
        <v>3588.7881578947363</v>
      </c>
      <c r="M79" s="1">
        <f>SUBTOTAL(101,RB_20261022_150633[in_packets_per_s])</f>
        <v>90.465789473684239</v>
      </c>
      <c r="N79" s="1">
        <f>SUBTOTAL(101,RB_20261022_150633[out_packets_per_s])</f>
        <v>89.718421052631598</v>
      </c>
      <c r="O79">
        <f>SUBTOTAL(101,RB_20261022_150633[net_actor_channels])</f>
        <v>509</v>
      </c>
    </row>
    <row r="80" spans="1:15" x14ac:dyDescent="0.25">
      <c r="G80" t="s">
        <v>19</v>
      </c>
      <c r="K80">
        <f>K79/1024</f>
        <v>45.545537366365124</v>
      </c>
    </row>
    <row r="81" spans="8:13" x14ac:dyDescent="0.25">
      <c r="H81" t="s">
        <v>20</v>
      </c>
    </row>
    <row r="82" spans="8:13" x14ac:dyDescent="0.25">
      <c r="K82" t="s">
        <v>21</v>
      </c>
    </row>
    <row r="83" spans="8:13" x14ac:dyDescent="0.25">
      <c r="L83" t="s">
        <v>22</v>
      </c>
    </row>
    <row r="84" spans="8:13" x14ac:dyDescent="0.25">
      <c r="M84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E6CD-CD19-441F-8685-2C44C70C566B}">
  <dimension ref="A1:O78"/>
  <sheetViews>
    <sheetView topLeftCell="D61" workbookViewId="0">
      <selection activeCell="M77" sqref="M77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8.7109375" bestFit="1" customWidth="1"/>
    <col min="4" max="4" width="19.7109375" bestFit="1" customWidth="1"/>
    <col min="5" max="5" width="18.28515625" bestFit="1" customWidth="1"/>
    <col min="6" max="6" width="33.28515625" bestFit="1" customWidth="1"/>
    <col min="7" max="7" width="26.140625" bestFit="1" customWidth="1"/>
    <col min="8" max="8" width="26.28515625" bestFit="1" customWidth="1"/>
    <col min="9" max="9" width="16.85546875" bestFit="1" customWidth="1"/>
    <col min="10" max="10" width="24.42578125" bestFit="1" customWidth="1"/>
    <col min="11" max="11" width="16.7109375" bestFit="1" customWidth="1"/>
    <col min="12" max="12" width="18" bestFit="1" customWidth="1"/>
    <col min="13" max="13" width="18.7109375" bestFit="1" customWidth="1"/>
    <col min="14" max="14" width="20.140625" bestFit="1" customWidth="1"/>
    <col min="15" max="15" width="2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239.06299999999999</v>
      </c>
      <c r="B2" s="1" t="s">
        <v>15</v>
      </c>
      <c r="C2" s="1" t="s">
        <v>16</v>
      </c>
      <c r="D2">
        <v>500</v>
      </c>
      <c r="E2">
        <v>500</v>
      </c>
      <c r="F2">
        <v>500</v>
      </c>
      <c r="G2" s="1">
        <v>0</v>
      </c>
      <c r="H2" s="1">
        <v>3.4799999999999998E-2</v>
      </c>
      <c r="I2" s="1">
        <v>317.5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>
        <v>509</v>
      </c>
    </row>
    <row r="3" spans="1:15" x14ac:dyDescent="0.25">
      <c r="A3" s="1">
        <v>240.07</v>
      </c>
      <c r="B3" s="1" t="s">
        <v>15</v>
      </c>
      <c r="C3" s="1" t="s">
        <v>16</v>
      </c>
      <c r="D3">
        <v>500</v>
      </c>
      <c r="E3">
        <v>500</v>
      </c>
      <c r="F3">
        <v>500</v>
      </c>
      <c r="G3" s="1">
        <v>8149.1130000000003</v>
      </c>
      <c r="H3" s="1">
        <v>3.7100000000000001E-2</v>
      </c>
      <c r="I3" s="1">
        <v>317.5</v>
      </c>
      <c r="J3" s="1">
        <v>1.0069999999999999</v>
      </c>
      <c r="K3" s="1">
        <v>134499.1</v>
      </c>
      <c r="L3" s="1">
        <v>3887</v>
      </c>
      <c r="M3" s="1">
        <v>173.7</v>
      </c>
      <c r="N3" s="1">
        <v>88.3</v>
      </c>
      <c r="O3">
        <v>509</v>
      </c>
    </row>
    <row r="4" spans="1:15" x14ac:dyDescent="0.25">
      <c r="A4" s="1">
        <v>241.077</v>
      </c>
      <c r="B4" s="1" t="s">
        <v>15</v>
      </c>
      <c r="C4" s="1" t="s">
        <v>16</v>
      </c>
      <c r="D4">
        <v>500</v>
      </c>
      <c r="E4">
        <v>500</v>
      </c>
      <c r="F4">
        <v>500</v>
      </c>
      <c r="G4" s="1">
        <v>8126.6719999999996</v>
      </c>
      <c r="H4" s="1">
        <v>3.9199999999999999E-2</v>
      </c>
      <c r="I4" s="1">
        <v>316.10000000000002</v>
      </c>
      <c r="J4" s="1">
        <v>1.0069999999999999</v>
      </c>
      <c r="K4" s="1">
        <v>134256.4</v>
      </c>
      <c r="L4" s="1">
        <v>3888.1</v>
      </c>
      <c r="M4" s="1">
        <v>176.7</v>
      </c>
      <c r="N4" s="1">
        <v>88.4</v>
      </c>
      <c r="O4">
        <v>509</v>
      </c>
    </row>
    <row r="5" spans="1:15" x14ac:dyDescent="0.25">
      <c r="A5" s="1">
        <v>242.08</v>
      </c>
      <c r="B5" s="1" t="s">
        <v>15</v>
      </c>
      <c r="C5" s="1" t="s">
        <v>16</v>
      </c>
      <c r="D5">
        <v>500</v>
      </c>
      <c r="E5">
        <v>500</v>
      </c>
      <c r="F5">
        <v>500</v>
      </c>
      <c r="G5" s="1">
        <v>8171.2860000000001</v>
      </c>
      <c r="H5" s="1">
        <v>3.5900000000000001E-2</v>
      </c>
      <c r="I5" s="1">
        <v>316.3</v>
      </c>
      <c r="J5" s="1">
        <v>1.002</v>
      </c>
      <c r="K5" s="1">
        <v>134977.4</v>
      </c>
      <c r="L5" s="1">
        <v>3907.5</v>
      </c>
      <c r="M5" s="1">
        <v>177.6</v>
      </c>
      <c r="N5" s="1">
        <v>88.8</v>
      </c>
      <c r="O5">
        <v>509</v>
      </c>
    </row>
    <row r="6" spans="1:15" x14ac:dyDescent="0.25">
      <c r="A6" s="1">
        <v>243.08</v>
      </c>
      <c r="B6" s="1" t="s">
        <v>15</v>
      </c>
      <c r="C6" s="1" t="s">
        <v>16</v>
      </c>
      <c r="D6">
        <v>500</v>
      </c>
      <c r="E6">
        <v>500</v>
      </c>
      <c r="F6">
        <v>500</v>
      </c>
      <c r="G6" s="1">
        <v>8146.3819999999996</v>
      </c>
      <c r="H6" s="1">
        <v>3.8100000000000002E-2</v>
      </c>
      <c r="I6" s="1">
        <v>316.8</v>
      </c>
      <c r="J6" s="1">
        <v>1</v>
      </c>
      <c r="K6" s="1">
        <v>134628.79999999999</v>
      </c>
      <c r="L6" s="1">
        <v>3915.7</v>
      </c>
      <c r="M6" s="1">
        <v>178</v>
      </c>
      <c r="N6" s="1">
        <v>89</v>
      </c>
      <c r="O6">
        <v>509</v>
      </c>
    </row>
    <row r="7" spans="1:15" x14ac:dyDescent="0.25">
      <c r="A7" s="1">
        <v>244.09</v>
      </c>
      <c r="B7" s="1" t="s">
        <v>15</v>
      </c>
      <c r="C7" s="1" t="s">
        <v>16</v>
      </c>
      <c r="D7">
        <v>500</v>
      </c>
      <c r="E7">
        <v>500</v>
      </c>
      <c r="F7">
        <v>500</v>
      </c>
      <c r="G7" s="1">
        <v>8069.3370000000004</v>
      </c>
      <c r="H7" s="1">
        <v>3.6999999999999998E-2</v>
      </c>
      <c r="I7" s="1">
        <v>316.2</v>
      </c>
      <c r="J7" s="1">
        <v>1.01</v>
      </c>
      <c r="K7" s="1">
        <v>133071.29999999999</v>
      </c>
      <c r="L7" s="1">
        <v>3790.6</v>
      </c>
      <c r="M7" s="1">
        <v>169.3</v>
      </c>
      <c r="N7" s="1">
        <v>86.1</v>
      </c>
      <c r="O7">
        <v>509</v>
      </c>
    </row>
    <row r="8" spans="1:15" x14ac:dyDescent="0.25">
      <c r="A8" s="1">
        <v>245.09800000000001</v>
      </c>
      <c r="B8" s="1" t="s">
        <v>15</v>
      </c>
      <c r="C8" s="1" t="s">
        <v>16</v>
      </c>
      <c r="D8">
        <v>500</v>
      </c>
      <c r="E8">
        <v>500</v>
      </c>
      <c r="F8">
        <v>500</v>
      </c>
      <c r="G8" s="1">
        <v>8183.3590000000004</v>
      </c>
      <c r="H8" s="1">
        <v>3.4599999999999999E-2</v>
      </c>
      <c r="I8" s="1">
        <v>316.5</v>
      </c>
      <c r="J8" s="1">
        <v>1.0089999999999999</v>
      </c>
      <c r="K8" s="1">
        <v>135166.20000000001</v>
      </c>
      <c r="L8" s="1">
        <v>3925.2</v>
      </c>
      <c r="M8" s="1">
        <v>177.4</v>
      </c>
      <c r="N8" s="1">
        <v>89.2</v>
      </c>
      <c r="O8">
        <v>509</v>
      </c>
    </row>
    <row r="9" spans="1:15" x14ac:dyDescent="0.25">
      <c r="A9" s="1">
        <v>246.10900000000001</v>
      </c>
      <c r="B9" s="1" t="s">
        <v>15</v>
      </c>
      <c r="C9" s="1" t="s">
        <v>16</v>
      </c>
      <c r="D9">
        <v>500</v>
      </c>
      <c r="E9">
        <v>500</v>
      </c>
      <c r="F9">
        <v>500</v>
      </c>
      <c r="G9" s="1">
        <v>8158.4930000000004</v>
      </c>
      <c r="H9" s="1">
        <v>3.6999999999999998E-2</v>
      </c>
      <c r="I9" s="1">
        <v>315.60000000000002</v>
      </c>
      <c r="J9" s="1">
        <v>1.01</v>
      </c>
      <c r="K9" s="1">
        <v>134855.6</v>
      </c>
      <c r="L9" s="1">
        <v>3918.9</v>
      </c>
      <c r="M9" s="1">
        <v>179.1</v>
      </c>
      <c r="N9" s="1">
        <v>89.1</v>
      </c>
      <c r="O9">
        <v>509</v>
      </c>
    </row>
    <row r="10" spans="1:15" x14ac:dyDescent="0.25">
      <c r="A10" s="1">
        <v>247.114</v>
      </c>
      <c r="B10" s="1" t="s">
        <v>15</v>
      </c>
      <c r="C10" s="1" t="s">
        <v>16</v>
      </c>
      <c r="D10">
        <v>500</v>
      </c>
      <c r="E10">
        <v>500</v>
      </c>
      <c r="F10">
        <v>500</v>
      </c>
      <c r="G10" s="1">
        <v>8176.6440000000002</v>
      </c>
      <c r="H10" s="1">
        <v>3.7199999999999997E-2</v>
      </c>
      <c r="I10" s="1">
        <v>314.60000000000002</v>
      </c>
      <c r="J10" s="1">
        <v>1.0049999999999999</v>
      </c>
      <c r="K10" s="1">
        <v>135106.6</v>
      </c>
      <c r="L10" s="1">
        <v>3939.1</v>
      </c>
      <c r="M10" s="1">
        <v>179.1</v>
      </c>
      <c r="N10" s="1">
        <v>89.5</v>
      </c>
      <c r="O10">
        <v>509</v>
      </c>
    </row>
    <row r="11" spans="1:15" x14ac:dyDescent="0.25">
      <c r="A11" s="1">
        <v>248.12200000000001</v>
      </c>
      <c r="B11" s="1" t="s">
        <v>15</v>
      </c>
      <c r="C11" s="1" t="s">
        <v>16</v>
      </c>
      <c r="D11">
        <v>500</v>
      </c>
      <c r="E11">
        <v>500</v>
      </c>
      <c r="F11">
        <v>500</v>
      </c>
      <c r="G11" s="1">
        <v>8164.5929999999998</v>
      </c>
      <c r="H11" s="1">
        <v>3.7600000000000001E-2</v>
      </c>
      <c r="I11" s="1">
        <v>314.3</v>
      </c>
      <c r="J11" s="1">
        <v>1.0069999999999999</v>
      </c>
      <c r="K11" s="1">
        <v>134845.29999999999</v>
      </c>
      <c r="L11" s="1">
        <v>3930.9</v>
      </c>
      <c r="M11" s="1">
        <v>176.7</v>
      </c>
      <c r="N11" s="1">
        <v>89.3</v>
      </c>
      <c r="O11">
        <v>509</v>
      </c>
    </row>
    <row r="12" spans="1:15" x14ac:dyDescent="0.25">
      <c r="A12" s="1">
        <v>249.12899999999999</v>
      </c>
      <c r="B12" s="1" t="s">
        <v>15</v>
      </c>
      <c r="C12" s="1" t="s">
        <v>16</v>
      </c>
      <c r="D12">
        <v>500</v>
      </c>
      <c r="E12">
        <v>500</v>
      </c>
      <c r="F12">
        <v>500</v>
      </c>
      <c r="G12" s="1">
        <v>8174.8239999999996</v>
      </c>
      <c r="H12" s="1">
        <v>3.8800000000000001E-2</v>
      </c>
      <c r="I12" s="1">
        <v>314.8</v>
      </c>
      <c r="J12" s="1">
        <v>1.0069999999999999</v>
      </c>
      <c r="K12" s="1">
        <v>135085.70000000001</v>
      </c>
      <c r="L12" s="1">
        <v>3933</v>
      </c>
      <c r="M12" s="1">
        <v>178.8</v>
      </c>
      <c r="N12" s="1">
        <v>89.4</v>
      </c>
      <c r="O12">
        <v>509</v>
      </c>
    </row>
    <row r="13" spans="1:15" x14ac:dyDescent="0.25">
      <c r="A13" s="1">
        <v>250.13</v>
      </c>
      <c r="B13" s="1" t="s">
        <v>15</v>
      </c>
      <c r="C13" s="1" t="s">
        <v>16</v>
      </c>
      <c r="D13">
        <v>500</v>
      </c>
      <c r="E13">
        <v>500</v>
      </c>
      <c r="F13">
        <v>500</v>
      </c>
      <c r="G13" s="1">
        <v>8173.0020000000004</v>
      </c>
      <c r="H13" s="1">
        <v>3.6600000000000001E-2</v>
      </c>
      <c r="I13" s="1">
        <v>315.8</v>
      </c>
      <c r="J13" s="1">
        <v>1.002</v>
      </c>
      <c r="K13" s="1">
        <v>134941.4</v>
      </c>
      <c r="L13" s="1">
        <v>3908.8</v>
      </c>
      <c r="M13" s="1">
        <v>175.7</v>
      </c>
      <c r="N13" s="1">
        <v>88.8</v>
      </c>
      <c r="O13">
        <v>509</v>
      </c>
    </row>
    <row r="14" spans="1:15" x14ac:dyDescent="0.25">
      <c r="A14" s="1">
        <v>251.13200000000001</v>
      </c>
      <c r="B14" s="1" t="s">
        <v>15</v>
      </c>
      <c r="C14" s="1" t="s">
        <v>16</v>
      </c>
      <c r="D14">
        <v>500</v>
      </c>
      <c r="E14">
        <v>500</v>
      </c>
      <c r="F14">
        <v>500</v>
      </c>
      <c r="G14" s="1">
        <v>8175.1490000000003</v>
      </c>
      <c r="H14" s="1">
        <v>3.7100000000000001E-2</v>
      </c>
      <c r="I14" s="1">
        <v>316.89999999999998</v>
      </c>
      <c r="J14" s="1">
        <v>1.0009999999999999</v>
      </c>
      <c r="K14" s="1">
        <v>135085.70000000001</v>
      </c>
      <c r="L14" s="1">
        <v>3954.8</v>
      </c>
      <c r="M14" s="1">
        <v>178.8</v>
      </c>
      <c r="N14" s="1">
        <v>89.9</v>
      </c>
      <c r="O14">
        <v>509</v>
      </c>
    </row>
    <row r="15" spans="1:15" x14ac:dyDescent="0.25">
      <c r="A15" s="1">
        <v>252.13399999999999</v>
      </c>
      <c r="B15" s="1" t="s">
        <v>15</v>
      </c>
      <c r="C15" s="1" t="s">
        <v>16</v>
      </c>
      <c r="D15">
        <v>500</v>
      </c>
      <c r="E15">
        <v>500</v>
      </c>
      <c r="F15">
        <v>500</v>
      </c>
      <c r="G15" s="1">
        <v>8206.2270000000008</v>
      </c>
      <c r="H15" s="1">
        <v>3.5299999999999998E-2</v>
      </c>
      <c r="I15" s="1">
        <v>315.60000000000002</v>
      </c>
      <c r="J15" s="1">
        <v>1.0029999999999999</v>
      </c>
      <c r="K15" s="1">
        <v>135574.79999999999</v>
      </c>
      <c r="L15" s="1">
        <v>3949</v>
      </c>
      <c r="M15" s="1">
        <v>178.5</v>
      </c>
      <c r="N15" s="1">
        <v>89.8</v>
      </c>
      <c r="O15">
        <v>509</v>
      </c>
    </row>
    <row r="16" spans="1:15" x14ac:dyDescent="0.25">
      <c r="A16" s="1">
        <v>253.13499999999999</v>
      </c>
      <c r="B16" s="1" t="s">
        <v>15</v>
      </c>
      <c r="C16" s="1" t="s">
        <v>16</v>
      </c>
      <c r="D16">
        <v>500</v>
      </c>
      <c r="E16">
        <v>500</v>
      </c>
      <c r="F16">
        <v>500</v>
      </c>
      <c r="G16" s="1">
        <v>8179.85</v>
      </c>
      <c r="H16" s="1">
        <v>3.6799999999999999E-2</v>
      </c>
      <c r="I16" s="1">
        <v>314.3</v>
      </c>
      <c r="J16" s="1">
        <v>1</v>
      </c>
      <c r="K16" s="1">
        <v>135204.9</v>
      </c>
      <c r="L16" s="1">
        <v>3958.5</v>
      </c>
      <c r="M16" s="1">
        <v>179.9</v>
      </c>
      <c r="N16" s="1">
        <v>90</v>
      </c>
      <c r="O16">
        <v>509</v>
      </c>
    </row>
    <row r="17" spans="1:15" x14ac:dyDescent="0.25">
      <c r="A17" s="1">
        <v>254.14500000000001</v>
      </c>
      <c r="B17" s="1" t="s">
        <v>15</v>
      </c>
      <c r="C17" s="1" t="s">
        <v>16</v>
      </c>
      <c r="D17">
        <v>500</v>
      </c>
      <c r="E17">
        <v>500</v>
      </c>
      <c r="F17">
        <v>500</v>
      </c>
      <c r="G17" s="1">
        <v>8145.7340000000004</v>
      </c>
      <c r="H17" s="1">
        <v>3.6200000000000003E-2</v>
      </c>
      <c r="I17" s="1">
        <v>314.8</v>
      </c>
      <c r="J17" s="1">
        <v>1.01</v>
      </c>
      <c r="K17" s="1">
        <v>134579.29999999999</v>
      </c>
      <c r="L17" s="1">
        <v>3875.4</v>
      </c>
      <c r="M17" s="1">
        <v>177.1</v>
      </c>
      <c r="N17" s="1">
        <v>88.1</v>
      </c>
      <c r="O17">
        <v>509</v>
      </c>
    </row>
    <row r="18" spans="1:15" x14ac:dyDescent="0.25">
      <c r="A18" s="1">
        <v>255.15299999999999</v>
      </c>
      <c r="B18" s="1" t="s">
        <v>15</v>
      </c>
      <c r="C18" s="1" t="s">
        <v>16</v>
      </c>
      <c r="D18">
        <v>500</v>
      </c>
      <c r="E18">
        <v>500</v>
      </c>
      <c r="F18">
        <v>500</v>
      </c>
      <c r="G18" s="1">
        <v>8178.1549999999997</v>
      </c>
      <c r="H18" s="1">
        <v>3.4799999999999998E-2</v>
      </c>
      <c r="I18" s="1">
        <v>315.2</v>
      </c>
      <c r="J18" s="1">
        <v>1.0069999999999999</v>
      </c>
      <c r="K18" s="1">
        <v>135138.6</v>
      </c>
      <c r="L18" s="1">
        <v>3931.7</v>
      </c>
      <c r="M18" s="1">
        <v>178.7</v>
      </c>
      <c r="N18" s="1">
        <v>89.4</v>
      </c>
      <c r="O18">
        <v>509</v>
      </c>
    </row>
    <row r="19" spans="1:15" x14ac:dyDescent="0.25">
      <c r="A19" s="1">
        <v>256.15699999999998</v>
      </c>
      <c r="B19" s="1" t="s">
        <v>15</v>
      </c>
      <c r="C19" s="1" t="s">
        <v>16</v>
      </c>
      <c r="D19">
        <v>500</v>
      </c>
      <c r="E19">
        <v>500</v>
      </c>
      <c r="F19">
        <v>500</v>
      </c>
      <c r="G19" s="1">
        <v>8161.8040000000001</v>
      </c>
      <c r="H19" s="1">
        <v>3.6299999999999999E-2</v>
      </c>
      <c r="I19" s="1">
        <v>315.39999999999998</v>
      </c>
      <c r="J19" s="1">
        <v>1.0049999999999999</v>
      </c>
      <c r="K19" s="1">
        <v>134851.4</v>
      </c>
      <c r="L19" s="1">
        <v>3941.1</v>
      </c>
      <c r="M19" s="1">
        <v>178.1</v>
      </c>
      <c r="N19" s="1">
        <v>89.6</v>
      </c>
      <c r="O19">
        <v>509</v>
      </c>
    </row>
    <row r="20" spans="1:15" x14ac:dyDescent="0.25">
      <c r="A20" s="1">
        <v>257.166</v>
      </c>
      <c r="B20" s="1" t="s">
        <v>15</v>
      </c>
      <c r="C20" s="1" t="s">
        <v>16</v>
      </c>
      <c r="D20">
        <v>500</v>
      </c>
      <c r="E20">
        <v>500</v>
      </c>
      <c r="F20">
        <v>500</v>
      </c>
      <c r="G20" s="1">
        <v>8173.3459999999995</v>
      </c>
      <c r="H20" s="1">
        <v>3.5999999999999997E-2</v>
      </c>
      <c r="I20" s="1">
        <v>315.89999999999998</v>
      </c>
      <c r="J20" s="1">
        <v>1.0089999999999999</v>
      </c>
      <c r="K20" s="1">
        <v>134961.29999999999</v>
      </c>
      <c r="L20" s="1">
        <v>3924.2</v>
      </c>
      <c r="M20" s="1">
        <v>176.4</v>
      </c>
      <c r="N20" s="1">
        <v>89.2</v>
      </c>
      <c r="O20">
        <v>509</v>
      </c>
    </row>
    <row r="21" spans="1:15" x14ac:dyDescent="0.25">
      <c r="A21" s="1">
        <v>258.17200000000003</v>
      </c>
      <c r="B21" s="1" t="s">
        <v>15</v>
      </c>
      <c r="C21" s="1" t="s">
        <v>16</v>
      </c>
      <c r="D21">
        <v>500</v>
      </c>
      <c r="E21">
        <v>500</v>
      </c>
      <c r="F21">
        <v>500</v>
      </c>
      <c r="G21" s="1">
        <v>8172.5420000000004</v>
      </c>
      <c r="H21" s="1">
        <v>3.5299999999999998E-2</v>
      </c>
      <c r="I21" s="1">
        <v>314</v>
      </c>
      <c r="J21" s="1">
        <v>1.006</v>
      </c>
      <c r="K21" s="1">
        <v>135063.20000000001</v>
      </c>
      <c r="L21" s="1">
        <v>3936.7</v>
      </c>
      <c r="M21" s="1">
        <v>178.9</v>
      </c>
      <c r="N21" s="1">
        <v>89.5</v>
      </c>
      <c r="O21">
        <v>509</v>
      </c>
    </row>
    <row r="22" spans="1:15" x14ac:dyDescent="0.25">
      <c r="A22" s="1">
        <v>259.18400000000003</v>
      </c>
      <c r="B22" s="1" t="s">
        <v>15</v>
      </c>
      <c r="C22" s="1" t="s">
        <v>16</v>
      </c>
      <c r="D22">
        <v>500</v>
      </c>
      <c r="E22">
        <v>500</v>
      </c>
      <c r="F22">
        <v>500</v>
      </c>
      <c r="G22" s="1">
        <v>8167.0020000000004</v>
      </c>
      <c r="H22" s="1">
        <v>3.5900000000000001E-2</v>
      </c>
      <c r="I22" s="1">
        <v>311.60000000000002</v>
      </c>
      <c r="J22" s="1">
        <v>1.012</v>
      </c>
      <c r="K22" s="1">
        <v>134894.9</v>
      </c>
      <c r="L22" s="1">
        <v>3914.5</v>
      </c>
      <c r="M22" s="1">
        <v>176.9</v>
      </c>
      <c r="N22" s="1">
        <v>89</v>
      </c>
      <c r="O22">
        <v>509</v>
      </c>
    </row>
    <row r="23" spans="1:15" x14ac:dyDescent="0.25">
      <c r="A23" s="1">
        <v>260.18799999999999</v>
      </c>
      <c r="B23" s="1" t="s">
        <v>15</v>
      </c>
      <c r="C23" s="1" t="s">
        <v>16</v>
      </c>
      <c r="D23">
        <v>500</v>
      </c>
      <c r="E23">
        <v>500</v>
      </c>
      <c r="F23">
        <v>500</v>
      </c>
      <c r="G23" s="1">
        <v>8165.491</v>
      </c>
      <c r="H23" s="1">
        <v>3.73E-2</v>
      </c>
      <c r="I23" s="1">
        <v>311.60000000000002</v>
      </c>
      <c r="J23" s="1">
        <v>1.004</v>
      </c>
      <c r="K23" s="1">
        <v>134925.79999999999</v>
      </c>
      <c r="L23" s="1">
        <v>3943.3</v>
      </c>
      <c r="M23" s="1">
        <v>178.2</v>
      </c>
      <c r="N23" s="1">
        <v>89.6</v>
      </c>
      <c r="O23">
        <v>509</v>
      </c>
    </row>
    <row r="24" spans="1:15" x14ac:dyDescent="0.25">
      <c r="A24" s="1">
        <v>261.19600000000003</v>
      </c>
      <c r="B24" s="1" t="s">
        <v>15</v>
      </c>
      <c r="C24" s="1" t="s">
        <v>16</v>
      </c>
      <c r="D24">
        <v>500</v>
      </c>
      <c r="E24">
        <v>500</v>
      </c>
      <c r="F24">
        <v>500</v>
      </c>
      <c r="G24" s="1">
        <v>8193.0689999999995</v>
      </c>
      <c r="H24" s="1">
        <v>3.5799999999999998E-2</v>
      </c>
      <c r="I24" s="1">
        <v>311.60000000000002</v>
      </c>
      <c r="J24" s="1">
        <v>1.008</v>
      </c>
      <c r="K24" s="1">
        <v>135366.70000000001</v>
      </c>
      <c r="L24" s="1">
        <v>3928.4</v>
      </c>
      <c r="M24" s="1">
        <v>178.6</v>
      </c>
      <c r="N24" s="1">
        <v>89.3</v>
      </c>
      <c r="O24">
        <v>509</v>
      </c>
    </row>
    <row r="25" spans="1:15" x14ac:dyDescent="0.25">
      <c r="A25" s="1">
        <v>262.19799999999998</v>
      </c>
      <c r="B25" s="1" t="s">
        <v>15</v>
      </c>
      <c r="C25" s="1" t="s">
        <v>16</v>
      </c>
      <c r="D25">
        <v>500</v>
      </c>
      <c r="E25">
        <v>500</v>
      </c>
      <c r="F25">
        <v>500</v>
      </c>
      <c r="G25" s="1">
        <v>8154.1869999999999</v>
      </c>
      <c r="H25" s="1">
        <v>3.5900000000000001E-2</v>
      </c>
      <c r="I25" s="1">
        <v>311.7</v>
      </c>
      <c r="J25" s="1">
        <v>1.002</v>
      </c>
      <c r="K25" s="1">
        <v>134719.29999999999</v>
      </c>
      <c r="L25" s="1">
        <v>3908.9</v>
      </c>
      <c r="M25" s="1">
        <v>177.7</v>
      </c>
      <c r="N25" s="1">
        <v>88.8</v>
      </c>
      <c r="O25">
        <v>509</v>
      </c>
    </row>
    <row r="26" spans="1:15" x14ac:dyDescent="0.25">
      <c r="A26" s="1">
        <v>263.19900000000001</v>
      </c>
      <c r="B26" s="1" t="s">
        <v>15</v>
      </c>
      <c r="C26" s="1" t="s">
        <v>16</v>
      </c>
      <c r="D26">
        <v>500</v>
      </c>
      <c r="E26">
        <v>500</v>
      </c>
      <c r="F26">
        <v>500</v>
      </c>
      <c r="G26" s="1">
        <v>8186.7439999999997</v>
      </c>
      <c r="H26" s="1">
        <v>3.73E-2</v>
      </c>
      <c r="I26" s="1">
        <v>311.89999999999998</v>
      </c>
      <c r="J26" s="1">
        <v>1.0009999999999999</v>
      </c>
      <c r="K26" s="1">
        <v>135309.70000000001</v>
      </c>
      <c r="L26" s="1">
        <v>3957.9</v>
      </c>
      <c r="M26" s="1">
        <v>179.9</v>
      </c>
      <c r="N26" s="1">
        <v>90</v>
      </c>
      <c r="O26">
        <v>509</v>
      </c>
    </row>
    <row r="27" spans="1:15" x14ac:dyDescent="0.25">
      <c r="A27" s="1">
        <v>264.19900000000001</v>
      </c>
      <c r="B27" s="1" t="s">
        <v>15</v>
      </c>
      <c r="C27" s="1" t="s">
        <v>16</v>
      </c>
      <c r="D27">
        <v>500</v>
      </c>
      <c r="E27">
        <v>500</v>
      </c>
      <c r="F27">
        <v>500</v>
      </c>
      <c r="G27" s="1">
        <v>8130.6310000000003</v>
      </c>
      <c r="H27" s="1">
        <v>3.6999999999999998E-2</v>
      </c>
      <c r="I27" s="1">
        <v>312.3</v>
      </c>
      <c r="J27" s="1">
        <v>1</v>
      </c>
      <c r="K27" s="1">
        <v>134171.9</v>
      </c>
      <c r="L27" s="1">
        <v>3826.9</v>
      </c>
      <c r="M27" s="1">
        <v>172.9</v>
      </c>
      <c r="N27" s="1">
        <v>87</v>
      </c>
      <c r="O27">
        <v>509</v>
      </c>
    </row>
    <row r="28" spans="1:15" x14ac:dyDescent="0.25">
      <c r="A28" s="1">
        <v>265.20400000000001</v>
      </c>
      <c r="B28" s="1" t="s">
        <v>15</v>
      </c>
      <c r="C28" s="1" t="s">
        <v>16</v>
      </c>
      <c r="D28">
        <v>500</v>
      </c>
      <c r="E28">
        <v>500</v>
      </c>
      <c r="F28">
        <v>500</v>
      </c>
      <c r="G28" s="1">
        <v>8186.7820000000002</v>
      </c>
      <c r="H28" s="1">
        <v>3.56E-2</v>
      </c>
      <c r="I28" s="1">
        <v>313.2</v>
      </c>
      <c r="J28" s="1">
        <v>1.0049999999999999</v>
      </c>
      <c r="K28" s="1">
        <v>135202.79999999999</v>
      </c>
      <c r="L28" s="1">
        <v>3940.6</v>
      </c>
      <c r="M28" s="1">
        <v>177.1</v>
      </c>
      <c r="N28" s="1">
        <v>89.6</v>
      </c>
      <c r="O28">
        <v>509</v>
      </c>
    </row>
    <row r="29" spans="1:15" x14ac:dyDescent="0.25">
      <c r="A29" s="1">
        <v>266.20999999999998</v>
      </c>
      <c r="B29" s="1" t="s">
        <v>15</v>
      </c>
      <c r="C29" s="1" t="s">
        <v>16</v>
      </c>
      <c r="D29">
        <v>500</v>
      </c>
      <c r="E29">
        <v>500</v>
      </c>
      <c r="F29">
        <v>500</v>
      </c>
      <c r="G29" s="1">
        <v>8153.01</v>
      </c>
      <c r="H29" s="1">
        <v>3.8100000000000002E-2</v>
      </c>
      <c r="I29" s="1">
        <v>314</v>
      </c>
      <c r="J29" s="1">
        <v>1.006</v>
      </c>
      <c r="K29" s="1">
        <v>134680.20000000001</v>
      </c>
      <c r="L29" s="1">
        <v>3934.9</v>
      </c>
      <c r="M29" s="1">
        <v>176.9</v>
      </c>
      <c r="N29" s="1">
        <v>89.4</v>
      </c>
      <c r="O29">
        <v>509</v>
      </c>
    </row>
    <row r="30" spans="1:15" x14ac:dyDescent="0.25">
      <c r="A30" s="1">
        <v>267.21600000000001</v>
      </c>
      <c r="B30" s="1" t="s">
        <v>15</v>
      </c>
      <c r="C30" s="1" t="s">
        <v>16</v>
      </c>
      <c r="D30">
        <v>500</v>
      </c>
      <c r="E30">
        <v>500</v>
      </c>
      <c r="F30">
        <v>500</v>
      </c>
      <c r="G30" s="1">
        <v>8174.5079999999998</v>
      </c>
      <c r="H30" s="1">
        <v>3.6799999999999999E-2</v>
      </c>
      <c r="I30" s="1">
        <v>316</v>
      </c>
      <c r="J30" s="1">
        <v>1.006</v>
      </c>
      <c r="K30" s="1">
        <v>135020.5</v>
      </c>
      <c r="L30" s="1">
        <v>3892.4</v>
      </c>
      <c r="M30" s="1">
        <v>176.9</v>
      </c>
      <c r="N30" s="1">
        <v>88.5</v>
      </c>
      <c r="O30">
        <v>509</v>
      </c>
    </row>
    <row r="31" spans="1:15" x14ac:dyDescent="0.25">
      <c r="A31" s="1">
        <v>268.22699999999998</v>
      </c>
      <c r="B31" s="1" t="s">
        <v>15</v>
      </c>
      <c r="C31" s="1" t="s">
        <v>16</v>
      </c>
      <c r="D31">
        <v>500</v>
      </c>
      <c r="E31">
        <v>500</v>
      </c>
      <c r="F31">
        <v>500</v>
      </c>
      <c r="G31" s="1">
        <v>8194.6610000000001</v>
      </c>
      <c r="H31" s="1">
        <v>3.5499999999999997E-2</v>
      </c>
      <c r="I31" s="1">
        <v>316.5</v>
      </c>
      <c r="J31" s="1">
        <v>1.0109999999999999</v>
      </c>
      <c r="K31" s="1">
        <v>135445.29999999999</v>
      </c>
      <c r="L31" s="1">
        <v>3959.9</v>
      </c>
      <c r="M31" s="1">
        <v>180</v>
      </c>
      <c r="N31" s="1">
        <v>90</v>
      </c>
      <c r="O31">
        <v>509</v>
      </c>
    </row>
    <row r="32" spans="1:15" x14ac:dyDescent="0.25">
      <c r="A32" s="1">
        <v>269.238</v>
      </c>
      <c r="B32" s="1" t="s">
        <v>15</v>
      </c>
      <c r="C32" s="1" t="s">
        <v>16</v>
      </c>
      <c r="D32">
        <v>500</v>
      </c>
      <c r="E32">
        <v>500</v>
      </c>
      <c r="F32">
        <v>500</v>
      </c>
      <c r="G32" s="1">
        <v>8170.366</v>
      </c>
      <c r="H32" s="1">
        <v>3.6400000000000002E-2</v>
      </c>
      <c r="I32" s="1">
        <v>316.3</v>
      </c>
      <c r="J32" s="1">
        <v>1.01</v>
      </c>
      <c r="K32" s="1">
        <v>134907</v>
      </c>
      <c r="L32" s="1">
        <v>3918.9</v>
      </c>
      <c r="M32" s="1">
        <v>176.2</v>
      </c>
      <c r="N32" s="1">
        <v>89.1</v>
      </c>
      <c r="O32">
        <v>509</v>
      </c>
    </row>
    <row r="33" spans="1:15" x14ac:dyDescent="0.25">
      <c r="A33" s="1">
        <v>270.24200000000002</v>
      </c>
      <c r="B33" s="1" t="s">
        <v>15</v>
      </c>
      <c r="C33" s="1" t="s">
        <v>16</v>
      </c>
      <c r="D33">
        <v>500</v>
      </c>
      <c r="E33">
        <v>500</v>
      </c>
      <c r="F33">
        <v>500</v>
      </c>
      <c r="G33" s="1">
        <v>8171.4639999999999</v>
      </c>
      <c r="H33" s="1">
        <v>3.6400000000000002E-2</v>
      </c>
      <c r="I33" s="1">
        <v>315.39999999999998</v>
      </c>
      <c r="J33" s="1">
        <v>1.004</v>
      </c>
      <c r="K33" s="1">
        <v>135049.9</v>
      </c>
      <c r="L33" s="1">
        <v>3945.7</v>
      </c>
      <c r="M33" s="1">
        <v>179.4</v>
      </c>
      <c r="N33" s="1">
        <v>89.7</v>
      </c>
      <c r="O33">
        <v>509</v>
      </c>
    </row>
    <row r="34" spans="1:15" x14ac:dyDescent="0.25">
      <c r="A34" s="1">
        <v>271.25099999999998</v>
      </c>
      <c r="B34" s="1" t="s">
        <v>15</v>
      </c>
      <c r="C34" s="1" t="s">
        <v>16</v>
      </c>
      <c r="D34">
        <v>500</v>
      </c>
      <c r="E34">
        <v>500</v>
      </c>
      <c r="F34">
        <v>500</v>
      </c>
      <c r="G34" s="1">
        <v>8144.2290000000003</v>
      </c>
      <c r="H34" s="1">
        <v>4.02E-2</v>
      </c>
      <c r="I34" s="1">
        <v>314.7</v>
      </c>
      <c r="J34" s="1">
        <v>1.01</v>
      </c>
      <c r="K34" s="1">
        <v>134545.20000000001</v>
      </c>
      <c r="L34" s="1">
        <v>3922.5</v>
      </c>
      <c r="M34" s="1">
        <v>177.3</v>
      </c>
      <c r="N34" s="1">
        <v>89.1</v>
      </c>
      <c r="O34">
        <v>509</v>
      </c>
    </row>
    <row r="35" spans="1:15" x14ac:dyDescent="0.25">
      <c r="A35" s="1">
        <v>272.26</v>
      </c>
      <c r="B35" s="1" t="s">
        <v>15</v>
      </c>
      <c r="C35" s="1" t="s">
        <v>16</v>
      </c>
      <c r="D35">
        <v>500</v>
      </c>
      <c r="E35">
        <v>500</v>
      </c>
      <c r="F35">
        <v>500</v>
      </c>
      <c r="G35" s="1">
        <v>8185.2749999999996</v>
      </c>
      <c r="H35" s="1">
        <v>3.7499999999999999E-2</v>
      </c>
      <c r="I35" s="1">
        <v>314.2</v>
      </c>
      <c r="J35" s="1">
        <v>1.0089999999999999</v>
      </c>
      <c r="K35" s="1">
        <v>135237</v>
      </c>
      <c r="L35" s="1">
        <v>3925.6</v>
      </c>
      <c r="M35" s="1">
        <v>178.4</v>
      </c>
      <c r="N35" s="1">
        <v>89.2</v>
      </c>
      <c r="O35">
        <v>509</v>
      </c>
    </row>
    <row r="36" spans="1:15" x14ac:dyDescent="0.25">
      <c r="A36" s="1">
        <v>273.26600000000002</v>
      </c>
      <c r="B36" s="1" t="s">
        <v>15</v>
      </c>
      <c r="C36" s="1" t="s">
        <v>16</v>
      </c>
      <c r="D36">
        <v>500</v>
      </c>
      <c r="E36">
        <v>500</v>
      </c>
      <c r="F36">
        <v>500</v>
      </c>
      <c r="G36" s="1">
        <v>8189.6329999999998</v>
      </c>
      <c r="H36" s="1">
        <v>3.7199999999999997E-2</v>
      </c>
      <c r="I36" s="1">
        <v>314.7</v>
      </c>
      <c r="J36" s="1">
        <v>1.006</v>
      </c>
      <c r="K36" s="1">
        <v>135284.5</v>
      </c>
      <c r="L36" s="1">
        <v>3937.2</v>
      </c>
      <c r="M36" s="1">
        <v>178</v>
      </c>
      <c r="N36" s="1">
        <v>89.5</v>
      </c>
      <c r="O36">
        <v>509</v>
      </c>
    </row>
    <row r="37" spans="1:15" x14ac:dyDescent="0.25">
      <c r="A37" s="1">
        <v>274.27100000000002</v>
      </c>
      <c r="B37" s="1" t="s">
        <v>15</v>
      </c>
      <c r="C37" s="1" t="s">
        <v>16</v>
      </c>
      <c r="D37">
        <v>500</v>
      </c>
      <c r="E37">
        <v>500</v>
      </c>
      <c r="F37">
        <v>500</v>
      </c>
      <c r="G37" s="1">
        <v>8138.6719999999996</v>
      </c>
      <c r="H37" s="1">
        <v>3.7100000000000001E-2</v>
      </c>
      <c r="I37" s="1">
        <v>314.7</v>
      </c>
      <c r="J37" s="1">
        <v>1.0049999999999999</v>
      </c>
      <c r="K37" s="1">
        <v>134378.6</v>
      </c>
      <c r="L37" s="1">
        <v>3852.4</v>
      </c>
      <c r="M37" s="1">
        <v>175.1</v>
      </c>
      <c r="N37" s="1">
        <v>87.6</v>
      </c>
      <c r="O37">
        <v>509</v>
      </c>
    </row>
    <row r="38" spans="1:15" x14ac:dyDescent="0.25">
      <c r="A38" s="1">
        <v>275.27300000000002</v>
      </c>
      <c r="B38" s="1" t="s">
        <v>15</v>
      </c>
      <c r="C38" s="1" t="s">
        <v>16</v>
      </c>
      <c r="D38">
        <v>500</v>
      </c>
      <c r="E38">
        <v>500</v>
      </c>
      <c r="F38">
        <v>500</v>
      </c>
      <c r="G38" s="1">
        <v>8191.6409999999996</v>
      </c>
      <c r="H38" s="1">
        <v>3.6499999999999998E-2</v>
      </c>
      <c r="I38" s="1">
        <v>314.10000000000002</v>
      </c>
      <c r="J38" s="1">
        <v>1.002</v>
      </c>
      <c r="K38" s="1">
        <v>135391.5</v>
      </c>
      <c r="L38" s="1">
        <v>3950.2</v>
      </c>
      <c r="M38" s="1">
        <v>179.6</v>
      </c>
      <c r="N38" s="1">
        <v>89.8</v>
      </c>
      <c r="O38">
        <v>509</v>
      </c>
    </row>
    <row r="39" spans="1:15" x14ac:dyDescent="0.25">
      <c r="A39" s="1">
        <v>276.28199999999998</v>
      </c>
      <c r="B39" s="1" t="s">
        <v>15</v>
      </c>
      <c r="C39" s="1" t="s">
        <v>16</v>
      </c>
      <c r="D39">
        <v>500</v>
      </c>
      <c r="E39">
        <v>500</v>
      </c>
      <c r="F39">
        <v>500</v>
      </c>
      <c r="G39" s="1">
        <v>8171.5259999999998</v>
      </c>
      <c r="H39" s="1">
        <v>3.4799999999999998E-2</v>
      </c>
      <c r="I39" s="1">
        <v>313.60000000000002</v>
      </c>
      <c r="J39" s="1">
        <v>1.0089999999999999</v>
      </c>
      <c r="K39" s="1">
        <v>135017</v>
      </c>
      <c r="L39" s="1">
        <v>3923.8</v>
      </c>
      <c r="M39" s="1">
        <v>178.4</v>
      </c>
      <c r="N39" s="1">
        <v>89.2</v>
      </c>
      <c r="O39">
        <v>509</v>
      </c>
    </row>
    <row r="40" spans="1:15" x14ac:dyDescent="0.25">
      <c r="A40" s="1">
        <v>277.29199999999997</v>
      </c>
      <c r="B40" s="1" t="s">
        <v>15</v>
      </c>
      <c r="C40" s="1" t="s">
        <v>16</v>
      </c>
      <c r="D40">
        <v>500</v>
      </c>
      <c r="E40">
        <v>500</v>
      </c>
      <c r="F40">
        <v>500</v>
      </c>
      <c r="G40" s="1">
        <v>8134.1670000000004</v>
      </c>
      <c r="H40" s="1">
        <v>3.7699999999999997E-2</v>
      </c>
      <c r="I40" s="1">
        <v>311.8</v>
      </c>
      <c r="J40" s="1">
        <v>1.01</v>
      </c>
      <c r="K40" s="1">
        <v>134363.29999999999</v>
      </c>
      <c r="L40" s="1">
        <v>3877</v>
      </c>
      <c r="M40" s="1">
        <v>176.2</v>
      </c>
      <c r="N40" s="1">
        <v>88.1</v>
      </c>
      <c r="O40">
        <v>509</v>
      </c>
    </row>
    <row r="41" spans="1:15" x14ac:dyDescent="0.25">
      <c r="A41" s="1">
        <v>278.29899999999998</v>
      </c>
      <c r="B41" s="1" t="s">
        <v>15</v>
      </c>
      <c r="C41" s="1" t="s">
        <v>16</v>
      </c>
      <c r="D41">
        <v>500</v>
      </c>
      <c r="E41">
        <v>500</v>
      </c>
      <c r="F41">
        <v>500</v>
      </c>
      <c r="G41" s="1">
        <v>8166.83</v>
      </c>
      <c r="H41" s="1">
        <v>3.7600000000000001E-2</v>
      </c>
      <c r="I41" s="1">
        <v>313.10000000000002</v>
      </c>
      <c r="J41" s="1">
        <v>1.0069999999999999</v>
      </c>
      <c r="K41" s="1">
        <v>134924.1</v>
      </c>
      <c r="L41" s="1">
        <v>3933.9</v>
      </c>
      <c r="M41" s="1">
        <v>177.8</v>
      </c>
      <c r="N41" s="1">
        <v>89.4</v>
      </c>
      <c r="O41">
        <v>509</v>
      </c>
    </row>
    <row r="42" spans="1:15" x14ac:dyDescent="0.25">
      <c r="A42" s="1">
        <v>279.30799999999999</v>
      </c>
      <c r="B42" s="1" t="s">
        <v>15</v>
      </c>
      <c r="C42" s="1" t="s">
        <v>16</v>
      </c>
      <c r="D42">
        <v>500</v>
      </c>
      <c r="E42">
        <v>500</v>
      </c>
      <c r="F42">
        <v>500</v>
      </c>
      <c r="G42" s="1">
        <v>8194.6460000000006</v>
      </c>
      <c r="H42" s="1">
        <v>3.7199999999999997E-2</v>
      </c>
      <c r="I42" s="1">
        <v>312.5</v>
      </c>
      <c r="J42" s="1">
        <v>1.0089999999999999</v>
      </c>
      <c r="K42" s="1">
        <v>135389.1</v>
      </c>
      <c r="L42" s="1">
        <v>3925.8</v>
      </c>
      <c r="M42" s="1">
        <v>178.4</v>
      </c>
      <c r="N42" s="1">
        <v>89.2</v>
      </c>
      <c r="O42">
        <v>509</v>
      </c>
    </row>
    <row r="43" spans="1:15" x14ac:dyDescent="0.25">
      <c r="A43" s="1">
        <v>280.31900000000002</v>
      </c>
      <c r="B43" s="1" t="s">
        <v>15</v>
      </c>
      <c r="C43" s="1" t="s">
        <v>16</v>
      </c>
      <c r="D43">
        <v>500</v>
      </c>
      <c r="E43">
        <v>500</v>
      </c>
      <c r="F43">
        <v>500</v>
      </c>
      <c r="G43" s="1">
        <v>8124.1270000000004</v>
      </c>
      <c r="H43" s="1">
        <v>3.56E-2</v>
      </c>
      <c r="I43" s="1">
        <v>313.10000000000002</v>
      </c>
      <c r="J43" s="1">
        <v>1.0109999999999999</v>
      </c>
      <c r="K43" s="1">
        <v>134130.20000000001</v>
      </c>
      <c r="L43" s="1">
        <v>3830.6</v>
      </c>
      <c r="M43" s="1">
        <v>174.1</v>
      </c>
      <c r="N43" s="1">
        <v>87.1</v>
      </c>
      <c r="O43">
        <v>509</v>
      </c>
    </row>
    <row r="44" spans="1:15" x14ac:dyDescent="0.25">
      <c r="A44" s="1">
        <v>281.32100000000003</v>
      </c>
      <c r="B44" s="1" t="s">
        <v>15</v>
      </c>
      <c r="C44" s="1" t="s">
        <v>16</v>
      </c>
      <c r="D44">
        <v>500</v>
      </c>
      <c r="E44">
        <v>500</v>
      </c>
      <c r="F44">
        <v>500</v>
      </c>
      <c r="G44" s="1">
        <v>8168.9780000000001</v>
      </c>
      <c r="H44" s="1">
        <v>3.5200000000000002E-2</v>
      </c>
      <c r="I44" s="1">
        <v>313.89999999999998</v>
      </c>
      <c r="J44" s="1">
        <v>1.002</v>
      </c>
      <c r="K44" s="1">
        <v>135037</v>
      </c>
      <c r="L44" s="1">
        <v>3950.3</v>
      </c>
      <c r="M44" s="1">
        <v>179.6</v>
      </c>
      <c r="N44" s="1">
        <v>89.8</v>
      </c>
      <c r="O44">
        <v>509</v>
      </c>
    </row>
    <row r="45" spans="1:15" x14ac:dyDescent="0.25">
      <c r="A45" s="1">
        <v>282.32600000000002</v>
      </c>
      <c r="B45" s="1" t="s">
        <v>15</v>
      </c>
      <c r="C45" s="1" t="s">
        <v>16</v>
      </c>
      <c r="D45">
        <v>500</v>
      </c>
      <c r="E45">
        <v>500</v>
      </c>
      <c r="F45">
        <v>500</v>
      </c>
      <c r="G45" s="1">
        <v>8177.7250000000004</v>
      </c>
      <c r="H45" s="1">
        <v>3.6200000000000003E-2</v>
      </c>
      <c r="I45" s="1">
        <v>312.5</v>
      </c>
      <c r="J45" s="1">
        <v>1.004</v>
      </c>
      <c r="K45" s="1">
        <v>135093.79999999999</v>
      </c>
      <c r="L45" s="1">
        <v>3942.5</v>
      </c>
      <c r="M45" s="1">
        <v>178.2</v>
      </c>
      <c r="N45" s="1">
        <v>89.6</v>
      </c>
      <c r="O45">
        <v>509</v>
      </c>
    </row>
    <row r="46" spans="1:15" x14ac:dyDescent="0.25">
      <c r="A46" s="1">
        <v>283.33</v>
      </c>
      <c r="B46" s="1" t="s">
        <v>15</v>
      </c>
      <c r="C46" s="1" t="s">
        <v>16</v>
      </c>
      <c r="D46">
        <v>500</v>
      </c>
      <c r="E46">
        <v>500</v>
      </c>
      <c r="F46">
        <v>500</v>
      </c>
      <c r="G46" s="1">
        <v>8167.6120000000001</v>
      </c>
      <c r="H46" s="1">
        <v>3.6499999999999998E-2</v>
      </c>
      <c r="I46" s="1">
        <v>312.2</v>
      </c>
      <c r="J46" s="1">
        <v>1.0049999999999999</v>
      </c>
      <c r="K46" s="1">
        <v>134925.79999999999</v>
      </c>
      <c r="L46" s="1">
        <v>3897.7</v>
      </c>
      <c r="M46" s="1">
        <v>177.2</v>
      </c>
      <c r="N46" s="1">
        <v>88.6</v>
      </c>
      <c r="O46">
        <v>509</v>
      </c>
    </row>
    <row r="47" spans="1:15" x14ac:dyDescent="0.25">
      <c r="A47" s="1">
        <v>284.33800000000002</v>
      </c>
      <c r="B47" s="1" t="s">
        <v>15</v>
      </c>
      <c r="C47" s="1" t="s">
        <v>16</v>
      </c>
      <c r="D47">
        <v>500</v>
      </c>
      <c r="E47">
        <v>500</v>
      </c>
      <c r="F47">
        <v>500</v>
      </c>
      <c r="G47" s="1">
        <v>8136.174</v>
      </c>
      <c r="H47" s="1">
        <v>3.7699999999999997E-2</v>
      </c>
      <c r="I47" s="1">
        <v>312.60000000000002</v>
      </c>
      <c r="J47" s="1">
        <v>1.0069999999999999</v>
      </c>
      <c r="K47" s="1">
        <v>134351.6</v>
      </c>
      <c r="L47" s="1">
        <v>3886.9</v>
      </c>
      <c r="M47" s="1">
        <v>175.7</v>
      </c>
      <c r="N47" s="1">
        <v>88.3</v>
      </c>
      <c r="O47">
        <v>509</v>
      </c>
    </row>
    <row r="48" spans="1:15" x14ac:dyDescent="0.25">
      <c r="A48" s="1">
        <v>285.34800000000001</v>
      </c>
      <c r="B48" s="1" t="s">
        <v>15</v>
      </c>
      <c r="C48" s="1" t="s">
        <v>16</v>
      </c>
      <c r="D48">
        <v>500</v>
      </c>
      <c r="E48">
        <v>500</v>
      </c>
      <c r="F48">
        <v>500</v>
      </c>
      <c r="G48" s="1">
        <v>8165.4120000000003</v>
      </c>
      <c r="H48" s="1">
        <v>3.7400000000000003E-2</v>
      </c>
      <c r="I48" s="1">
        <v>312.7</v>
      </c>
      <c r="J48" s="1">
        <v>1.01</v>
      </c>
      <c r="K48" s="1">
        <v>134951.1</v>
      </c>
      <c r="L48" s="1">
        <v>3920.3</v>
      </c>
      <c r="M48" s="1">
        <v>179.2</v>
      </c>
      <c r="N48" s="1">
        <v>89.1</v>
      </c>
      <c r="O48">
        <v>509</v>
      </c>
    </row>
    <row r="49" spans="1:15" x14ac:dyDescent="0.25">
      <c r="A49" s="1">
        <v>286.34800000000001</v>
      </c>
      <c r="B49" s="1" t="s">
        <v>15</v>
      </c>
      <c r="C49" s="1" t="s">
        <v>16</v>
      </c>
      <c r="D49">
        <v>500</v>
      </c>
      <c r="E49">
        <v>500</v>
      </c>
      <c r="F49">
        <v>500</v>
      </c>
      <c r="G49" s="1">
        <v>8187.4279999999999</v>
      </c>
      <c r="H49" s="1">
        <v>3.7100000000000001E-2</v>
      </c>
      <c r="I49" s="1">
        <v>314.5</v>
      </c>
      <c r="J49" s="1">
        <v>1</v>
      </c>
      <c r="K49" s="1">
        <v>135332.5</v>
      </c>
      <c r="L49" s="1">
        <v>3959.7</v>
      </c>
      <c r="M49" s="1">
        <v>180</v>
      </c>
      <c r="N49" s="1">
        <v>90</v>
      </c>
      <c r="O49">
        <v>509</v>
      </c>
    </row>
    <row r="50" spans="1:15" x14ac:dyDescent="0.25">
      <c r="A50" s="1">
        <v>287.35599999999999</v>
      </c>
      <c r="B50" s="1" t="s">
        <v>15</v>
      </c>
      <c r="C50" s="1" t="s">
        <v>16</v>
      </c>
      <c r="D50">
        <v>500</v>
      </c>
      <c r="E50">
        <v>500</v>
      </c>
      <c r="F50">
        <v>500</v>
      </c>
      <c r="G50" s="1">
        <v>8172.0140000000001</v>
      </c>
      <c r="H50" s="1">
        <v>3.8699999999999998E-2</v>
      </c>
      <c r="I50" s="1">
        <v>315.10000000000002</v>
      </c>
      <c r="J50" s="1">
        <v>1.008</v>
      </c>
      <c r="K50" s="1">
        <v>135037.1</v>
      </c>
      <c r="L50" s="1">
        <v>3928.8</v>
      </c>
      <c r="M50" s="1">
        <v>178.6</v>
      </c>
      <c r="N50" s="1">
        <v>89.3</v>
      </c>
      <c r="O50">
        <v>509</v>
      </c>
    </row>
    <row r="51" spans="1:15" x14ac:dyDescent="0.25">
      <c r="A51" s="1">
        <v>288.363</v>
      </c>
      <c r="B51" s="1" t="s">
        <v>15</v>
      </c>
      <c r="C51" s="1" t="s">
        <v>16</v>
      </c>
      <c r="D51">
        <v>500</v>
      </c>
      <c r="E51">
        <v>500</v>
      </c>
      <c r="F51">
        <v>500</v>
      </c>
      <c r="G51" s="1">
        <v>8206.6910000000007</v>
      </c>
      <c r="H51" s="1">
        <v>3.5799999999999998E-2</v>
      </c>
      <c r="I51" s="1">
        <v>314.3</v>
      </c>
      <c r="J51" s="1">
        <v>1.0069999999999999</v>
      </c>
      <c r="K51" s="1">
        <v>135583.70000000001</v>
      </c>
      <c r="L51" s="1">
        <v>3932.1</v>
      </c>
      <c r="M51" s="1">
        <v>178.7</v>
      </c>
      <c r="N51" s="1">
        <v>89.4</v>
      </c>
      <c r="O51">
        <v>509</v>
      </c>
    </row>
    <row r="52" spans="1:15" x14ac:dyDescent="0.25">
      <c r="A52" s="1">
        <v>289.363</v>
      </c>
      <c r="B52" s="1" t="s">
        <v>15</v>
      </c>
      <c r="C52" s="1" t="s">
        <v>16</v>
      </c>
      <c r="D52">
        <v>500</v>
      </c>
      <c r="E52">
        <v>500</v>
      </c>
      <c r="F52">
        <v>500</v>
      </c>
      <c r="G52" s="1">
        <v>8153.3450000000003</v>
      </c>
      <c r="H52" s="1">
        <v>3.7100000000000001E-2</v>
      </c>
      <c r="I52" s="1">
        <v>314.7</v>
      </c>
      <c r="J52" s="1">
        <v>1</v>
      </c>
      <c r="K52" s="1">
        <v>134688.20000000001</v>
      </c>
      <c r="L52" s="1">
        <v>3915.7</v>
      </c>
      <c r="M52" s="1">
        <v>177</v>
      </c>
      <c r="N52" s="1">
        <v>89</v>
      </c>
      <c r="O52">
        <v>509</v>
      </c>
    </row>
    <row r="53" spans="1:15" x14ac:dyDescent="0.25">
      <c r="A53" s="1">
        <v>290.37400000000002</v>
      </c>
      <c r="B53" s="1" t="s">
        <v>15</v>
      </c>
      <c r="C53" s="1" t="s">
        <v>16</v>
      </c>
      <c r="D53">
        <v>500</v>
      </c>
      <c r="E53">
        <v>500</v>
      </c>
      <c r="F53">
        <v>500</v>
      </c>
      <c r="G53" s="1">
        <v>8180.2939999999999</v>
      </c>
      <c r="H53" s="1">
        <v>3.6900000000000002E-2</v>
      </c>
      <c r="I53" s="1">
        <v>314.5</v>
      </c>
      <c r="J53" s="1">
        <v>1.0109999999999999</v>
      </c>
      <c r="K53" s="1">
        <v>135221.70000000001</v>
      </c>
      <c r="L53" s="1">
        <v>3962</v>
      </c>
      <c r="M53" s="1">
        <v>180.1</v>
      </c>
      <c r="N53" s="1">
        <v>90</v>
      </c>
      <c r="O53">
        <v>509</v>
      </c>
    </row>
    <row r="54" spans="1:15" x14ac:dyDescent="0.25">
      <c r="A54" s="1">
        <v>291.38299999999998</v>
      </c>
      <c r="B54" s="1" t="s">
        <v>15</v>
      </c>
      <c r="C54" s="1" t="s">
        <v>16</v>
      </c>
      <c r="D54">
        <v>500</v>
      </c>
      <c r="E54">
        <v>500</v>
      </c>
      <c r="F54">
        <v>500</v>
      </c>
      <c r="G54" s="1">
        <v>8185.9560000000001</v>
      </c>
      <c r="H54" s="1">
        <v>3.6499999999999998E-2</v>
      </c>
      <c r="I54" s="1">
        <v>315.2</v>
      </c>
      <c r="J54" s="1">
        <v>1.01</v>
      </c>
      <c r="K54" s="1">
        <v>135320.79999999999</v>
      </c>
      <c r="L54" s="1">
        <v>3965.2</v>
      </c>
      <c r="M54" s="1">
        <v>180.2</v>
      </c>
      <c r="N54" s="1">
        <v>90.1</v>
      </c>
      <c r="O54">
        <v>509</v>
      </c>
    </row>
    <row r="55" spans="1:15" x14ac:dyDescent="0.25">
      <c r="A55" s="1">
        <v>292.39100000000002</v>
      </c>
      <c r="B55" s="1" t="s">
        <v>15</v>
      </c>
      <c r="C55" s="1" t="s">
        <v>16</v>
      </c>
      <c r="D55">
        <v>500</v>
      </c>
      <c r="E55">
        <v>500</v>
      </c>
      <c r="F55">
        <v>500</v>
      </c>
      <c r="G55" s="1">
        <v>8188.8140000000003</v>
      </c>
      <c r="H55" s="1">
        <v>3.5099999999999999E-2</v>
      </c>
      <c r="I55" s="1">
        <v>315.2</v>
      </c>
      <c r="J55" s="1">
        <v>1.008</v>
      </c>
      <c r="K55" s="1">
        <v>135300.4</v>
      </c>
      <c r="L55" s="1">
        <v>3928.2</v>
      </c>
      <c r="M55" s="1">
        <v>178.6</v>
      </c>
      <c r="N55" s="1">
        <v>89.3</v>
      </c>
      <c r="O55">
        <v>509</v>
      </c>
    </row>
    <row r="56" spans="1:15" x14ac:dyDescent="0.25">
      <c r="A56" s="1">
        <v>293.40199999999999</v>
      </c>
      <c r="B56" s="1" t="s">
        <v>15</v>
      </c>
      <c r="C56" s="1" t="s">
        <v>16</v>
      </c>
      <c r="D56">
        <v>500</v>
      </c>
      <c r="E56">
        <v>500</v>
      </c>
      <c r="F56">
        <v>500</v>
      </c>
      <c r="G56" s="1">
        <v>8106.4359999999997</v>
      </c>
      <c r="H56" s="1">
        <v>4.02E-2</v>
      </c>
      <c r="I56" s="1">
        <v>314.7</v>
      </c>
      <c r="J56" s="1">
        <v>1.01</v>
      </c>
      <c r="K56" s="1">
        <v>133839.79999999999</v>
      </c>
      <c r="L56" s="1">
        <v>3832</v>
      </c>
      <c r="M56" s="1">
        <v>174.2</v>
      </c>
      <c r="N56" s="1">
        <v>87.1</v>
      </c>
      <c r="O56">
        <v>509</v>
      </c>
    </row>
    <row r="57" spans="1:15" x14ac:dyDescent="0.25">
      <c r="A57" s="1">
        <v>294.41300000000001</v>
      </c>
      <c r="B57" s="1" t="s">
        <v>15</v>
      </c>
      <c r="C57" s="1" t="s">
        <v>16</v>
      </c>
      <c r="D57">
        <v>500</v>
      </c>
      <c r="E57">
        <v>500</v>
      </c>
      <c r="F57">
        <v>500</v>
      </c>
      <c r="G57" s="1">
        <v>8170.348</v>
      </c>
      <c r="H57" s="1">
        <v>3.6900000000000002E-2</v>
      </c>
      <c r="I57" s="1">
        <v>315.3</v>
      </c>
      <c r="J57" s="1">
        <v>1.0109999999999999</v>
      </c>
      <c r="K57" s="1">
        <v>134941.79999999999</v>
      </c>
      <c r="L57" s="1">
        <v>3918.4</v>
      </c>
      <c r="M57" s="1">
        <v>177.1</v>
      </c>
      <c r="N57" s="1">
        <v>89.1</v>
      </c>
      <c r="O57">
        <v>509</v>
      </c>
    </row>
    <row r="58" spans="1:15" x14ac:dyDescent="0.25">
      <c r="A58" s="1">
        <v>295.42399999999998</v>
      </c>
      <c r="B58" s="1" t="s">
        <v>15</v>
      </c>
      <c r="C58" s="1" t="s">
        <v>16</v>
      </c>
      <c r="D58">
        <v>500</v>
      </c>
      <c r="E58">
        <v>500</v>
      </c>
      <c r="F58">
        <v>500</v>
      </c>
      <c r="G58" s="1">
        <v>8163.7870000000003</v>
      </c>
      <c r="H58" s="1">
        <v>3.6499999999999998E-2</v>
      </c>
      <c r="I58" s="1">
        <v>314.8</v>
      </c>
      <c r="J58" s="1">
        <v>1.012</v>
      </c>
      <c r="K58" s="1">
        <v>134834.4</v>
      </c>
      <c r="L58" s="1">
        <v>3913.4</v>
      </c>
      <c r="M58" s="1">
        <v>176.9</v>
      </c>
      <c r="N58" s="1">
        <v>88.9</v>
      </c>
      <c r="O58">
        <v>509</v>
      </c>
    </row>
    <row r="59" spans="1:15" x14ac:dyDescent="0.25">
      <c r="A59" s="1">
        <v>296.42500000000001</v>
      </c>
      <c r="B59" s="1" t="s">
        <v>15</v>
      </c>
      <c r="C59" s="1" t="s">
        <v>16</v>
      </c>
      <c r="D59">
        <v>500</v>
      </c>
      <c r="E59">
        <v>500</v>
      </c>
      <c r="F59">
        <v>500</v>
      </c>
      <c r="G59" s="1">
        <v>8195.1049999999996</v>
      </c>
      <c r="H59" s="1">
        <v>3.6200000000000003E-2</v>
      </c>
      <c r="I59" s="1">
        <v>316</v>
      </c>
      <c r="J59" s="1">
        <v>1</v>
      </c>
      <c r="K59" s="1">
        <v>135380.20000000001</v>
      </c>
      <c r="L59" s="1">
        <v>3959.6</v>
      </c>
      <c r="M59" s="1">
        <v>178</v>
      </c>
      <c r="N59" s="1">
        <v>90</v>
      </c>
      <c r="O59">
        <v>509</v>
      </c>
    </row>
    <row r="60" spans="1:15" x14ac:dyDescent="0.25">
      <c r="A60" s="1">
        <v>297.43099999999998</v>
      </c>
      <c r="B60" s="1" t="s">
        <v>15</v>
      </c>
      <c r="C60" s="1" t="s">
        <v>16</v>
      </c>
      <c r="D60">
        <v>500</v>
      </c>
      <c r="E60">
        <v>500</v>
      </c>
      <c r="F60">
        <v>500</v>
      </c>
      <c r="G60" s="1">
        <v>8130.3580000000002</v>
      </c>
      <c r="H60" s="1">
        <v>3.95E-2</v>
      </c>
      <c r="I60" s="1">
        <v>316.39999999999998</v>
      </c>
      <c r="J60" s="1">
        <v>1.006</v>
      </c>
      <c r="K60" s="1">
        <v>134376</v>
      </c>
      <c r="L60" s="1">
        <v>3891.8</v>
      </c>
      <c r="M60" s="1">
        <v>177.9</v>
      </c>
      <c r="N60" s="1">
        <v>88.4</v>
      </c>
      <c r="O60">
        <v>509</v>
      </c>
    </row>
    <row r="61" spans="1:15" x14ac:dyDescent="0.25">
      <c r="A61" s="1">
        <v>298.43799999999999</v>
      </c>
      <c r="B61" s="1" t="s">
        <v>15</v>
      </c>
      <c r="C61" s="1" t="s">
        <v>16</v>
      </c>
      <c r="D61">
        <v>500</v>
      </c>
      <c r="E61">
        <v>500</v>
      </c>
      <c r="F61">
        <v>500</v>
      </c>
      <c r="G61" s="1">
        <v>8215.0959999999995</v>
      </c>
      <c r="H61" s="1">
        <v>3.5499999999999997E-2</v>
      </c>
      <c r="I61" s="1">
        <v>314.89999999999998</v>
      </c>
      <c r="J61" s="1">
        <v>1.0069999999999999</v>
      </c>
      <c r="K61" s="1">
        <v>135763.5</v>
      </c>
      <c r="L61" s="1">
        <v>3930.9</v>
      </c>
      <c r="M61" s="1">
        <v>179.7</v>
      </c>
      <c r="N61" s="1">
        <v>89.3</v>
      </c>
      <c r="O61">
        <v>509</v>
      </c>
    </row>
    <row r="62" spans="1:15" x14ac:dyDescent="0.25">
      <c r="A62" s="1">
        <v>299.43900000000002</v>
      </c>
      <c r="B62" s="1" t="s">
        <v>15</v>
      </c>
      <c r="C62" s="1" t="s">
        <v>16</v>
      </c>
      <c r="D62">
        <v>500</v>
      </c>
      <c r="E62">
        <v>500</v>
      </c>
      <c r="F62">
        <v>500</v>
      </c>
      <c r="G62" s="1">
        <v>8120.8450000000003</v>
      </c>
      <c r="H62" s="1">
        <v>3.6499999999999998E-2</v>
      </c>
      <c r="I62" s="1">
        <v>315.10000000000002</v>
      </c>
      <c r="J62" s="1">
        <v>1.0009999999999999</v>
      </c>
      <c r="K62" s="1">
        <v>134054.9</v>
      </c>
      <c r="L62" s="1">
        <v>3825.6</v>
      </c>
      <c r="M62" s="1">
        <v>173.9</v>
      </c>
      <c r="N62" s="1">
        <v>86.9</v>
      </c>
      <c r="O62">
        <v>509</v>
      </c>
    </row>
    <row r="63" spans="1:15" x14ac:dyDescent="0.25">
      <c r="A63" s="1">
        <v>300.44</v>
      </c>
      <c r="B63" s="1" t="s">
        <v>15</v>
      </c>
      <c r="C63" s="1" t="s">
        <v>16</v>
      </c>
      <c r="D63">
        <v>500</v>
      </c>
      <c r="E63">
        <v>500</v>
      </c>
      <c r="F63">
        <v>500</v>
      </c>
      <c r="G63" s="1">
        <v>8182.7060000000001</v>
      </c>
      <c r="H63" s="1">
        <v>3.7199999999999997E-2</v>
      </c>
      <c r="I63" s="1">
        <v>313.7</v>
      </c>
      <c r="J63" s="1">
        <v>1.002</v>
      </c>
      <c r="K63" s="1">
        <v>135242.29999999999</v>
      </c>
      <c r="L63" s="1">
        <v>3953.6</v>
      </c>
      <c r="M63" s="1">
        <v>179.7</v>
      </c>
      <c r="N63" s="1">
        <v>89.9</v>
      </c>
      <c r="O63">
        <v>509</v>
      </c>
    </row>
    <row r="64" spans="1:15" x14ac:dyDescent="0.25">
      <c r="A64" s="1">
        <v>301.452</v>
      </c>
      <c r="B64" s="1" t="s">
        <v>15</v>
      </c>
      <c r="C64" s="1" t="s">
        <v>16</v>
      </c>
      <c r="D64">
        <v>500</v>
      </c>
      <c r="E64">
        <v>500</v>
      </c>
      <c r="F64">
        <v>500</v>
      </c>
      <c r="G64" s="1">
        <v>8018.8639999999996</v>
      </c>
      <c r="H64" s="1">
        <v>4.0800000000000003E-2</v>
      </c>
      <c r="I64" s="1">
        <v>312.60000000000002</v>
      </c>
      <c r="J64" s="1">
        <v>1.0109999999999999</v>
      </c>
      <c r="K64" s="1">
        <v>132339.9</v>
      </c>
      <c r="L64" s="1">
        <v>3611</v>
      </c>
      <c r="M64" s="1">
        <v>171.1</v>
      </c>
      <c r="N64" s="1">
        <v>82.1</v>
      </c>
      <c r="O64">
        <v>509</v>
      </c>
    </row>
    <row r="65" spans="1:15" x14ac:dyDescent="0.25">
      <c r="A65" s="1">
        <v>302.45400000000001</v>
      </c>
      <c r="B65" s="1" t="s">
        <v>15</v>
      </c>
      <c r="C65" s="1" t="s">
        <v>16</v>
      </c>
      <c r="D65">
        <v>500</v>
      </c>
      <c r="E65">
        <v>500</v>
      </c>
      <c r="F65">
        <v>500</v>
      </c>
      <c r="G65" s="1">
        <v>7659.9520000000002</v>
      </c>
      <c r="H65" s="1">
        <v>3.6700000000000003E-2</v>
      </c>
      <c r="I65" s="1">
        <v>312.3</v>
      </c>
      <c r="J65" s="1">
        <v>1.0029999999999999</v>
      </c>
      <c r="K65" s="1">
        <v>126026.2</v>
      </c>
      <c r="L65" s="1">
        <v>3028.1</v>
      </c>
      <c r="M65" s="1">
        <v>153.6</v>
      </c>
      <c r="N65" s="1">
        <v>68.8</v>
      </c>
      <c r="O65">
        <v>509</v>
      </c>
    </row>
    <row r="66" spans="1:15" x14ac:dyDescent="0.25">
      <c r="A66" s="1">
        <v>303.46100000000001</v>
      </c>
      <c r="B66" s="1" t="s">
        <v>15</v>
      </c>
      <c r="C66" s="1" t="s">
        <v>16</v>
      </c>
      <c r="D66">
        <v>500</v>
      </c>
      <c r="E66">
        <v>500</v>
      </c>
      <c r="F66">
        <v>500</v>
      </c>
      <c r="G66" s="1">
        <v>8137.4290000000001</v>
      </c>
      <c r="H66" s="1">
        <v>3.7400000000000003E-2</v>
      </c>
      <c r="I66" s="1">
        <v>314.60000000000002</v>
      </c>
      <c r="J66" s="1">
        <v>1.0069999999999999</v>
      </c>
      <c r="K66" s="1">
        <v>134387.70000000001</v>
      </c>
      <c r="L66" s="1">
        <v>3845.3</v>
      </c>
      <c r="M66" s="1">
        <v>175.8</v>
      </c>
      <c r="N66" s="1">
        <v>87.4</v>
      </c>
      <c r="O66">
        <v>509</v>
      </c>
    </row>
    <row r="67" spans="1:15" x14ac:dyDescent="0.25">
      <c r="A67" s="1">
        <v>304.47000000000003</v>
      </c>
      <c r="B67" s="1" t="s">
        <v>15</v>
      </c>
      <c r="C67" s="1" t="s">
        <v>16</v>
      </c>
      <c r="D67">
        <v>500</v>
      </c>
      <c r="E67">
        <v>500</v>
      </c>
      <c r="F67">
        <v>500</v>
      </c>
      <c r="G67" s="1">
        <v>8173.9989999999998</v>
      </c>
      <c r="H67" s="1">
        <v>3.4799999999999998E-2</v>
      </c>
      <c r="I67" s="1">
        <v>314.89999999999998</v>
      </c>
      <c r="J67" s="1">
        <v>1.0089999999999999</v>
      </c>
      <c r="K67" s="1">
        <v>135046.39999999999</v>
      </c>
      <c r="L67" s="1">
        <v>3924.5</v>
      </c>
      <c r="M67" s="1">
        <v>178.4</v>
      </c>
      <c r="N67" s="1">
        <v>89.2</v>
      </c>
      <c r="O67">
        <v>509</v>
      </c>
    </row>
    <row r="68" spans="1:15" x14ac:dyDescent="0.25">
      <c r="A68" s="1">
        <v>305.47800000000001</v>
      </c>
      <c r="B68" s="1" t="s">
        <v>15</v>
      </c>
      <c r="C68" s="1" t="s">
        <v>16</v>
      </c>
      <c r="D68">
        <v>500</v>
      </c>
      <c r="E68">
        <v>500</v>
      </c>
      <c r="F68">
        <v>500</v>
      </c>
      <c r="G68" s="1">
        <v>8073.4639999999999</v>
      </c>
      <c r="H68" s="1">
        <v>3.61E-2</v>
      </c>
      <c r="I68" s="1">
        <v>315.8</v>
      </c>
      <c r="J68" s="1">
        <v>1.008</v>
      </c>
      <c r="K68" s="1">
        <v>133258.79999999999</v>
      </c>
      <c r="L68" s="1">
        <v>3842.2</v>
      </c>
      <c r="M68" s="1">
        <v>172.7</v>
      </c>
      <c r="N68" s="1">
        <v>87.3</v>
      </c>
      <c r="O68">
        <v>509</v>
      </c>
    </row>
    <row r="69" spans="1:15" x14ac:dyDescent="0.25">
      <c r="A69" s="1">
        <v>306.483</v>
      </c>
      <c r="B69" s="1" t="s">
        <v>15</v>
      </c>
      <c r="C69" s="1" t="s">
        <v>16</v>
      </c>
      <c r="D69">
        <v>500</v>
      </c>
      <c r="E69">
        <v>500</v>
      </c>
      <c r="F69">
        <v>500</v>
      </c>
      <c r="G69" s="1">
        <v>8155.5469999999996</v>
      </c>
      <c r="H69" s="1">
        <v>3.8399999999999997E-2</v>
      </c>
      <c r="I69" s="1">
        <v>316.60000000000002</v>
      </c>
      <c r="J69" s="1">
        <v>1.0049999999999999</v>
      </c>
      <c r="K69" s="1">
        <v>134800.9</v>
      </c>
      <c r="L69" s="1">
        <v>3940.9</v>
      </c>
      <c r="M69" s="1">
        <v>179.1</v>
      </c>
      <c r="N69" s="1">
        <v>89.6</v>
      </c>
      <c r="O69">
        <v>509</v>
      </c>
    </row>
    <row r="70" spans="1:15" x14ac:dyDescent="0.25">
      <c r="A70" s="1">
        <v>307.48500000000001</v>
      </c>
      <c r="B70" s="1" t="s">
        <v>15</v>
      </c>
      <c r="C70" s="1" t="s">
        <v>16</v>
      </c>
      <c r="D70">
        <v>500</v>
      </c>
      <c r="E70">
        <v>500</v>
      </c>
      <c r="F70">
        <v>500</v>
      </c>
      <c r="G70" s="1">
        <v>8155.1289999999999</v>
      </c>
      <c r="H70" s="1">
        <v>3.6999999999999998E-2</v>
      </c>
      <c r="I70" s="1">
        <v>314.10000000000002</v>
      </c>
      <c r="J70" s="1">
        <v>1.002</v>
      </c>
      <c r="K70" s="1">
        <v>134656.5</v>
      </c>
      <c r="L70" s="1">
        <v>3865.9</v>
      </c>
      <c r="M70" s="1">
        <v>175.7</v>
      </c>
      <c r="N70" s="1">
        <v>87.9</v>
      </c>
      <c r="O70">
        <v>509</v>
      </c>
    </row>
    <row r="71" spans="1:15" x14ac:dyDescent="0.25">
      <c r="A71" s="1">
        <v>308.49099999999999</v>
      </c>
      <c r="B71" s="1" t="s">
        <v>15</v>
      </c>
      <c r="C71" s="1" t="s">
        <v>16</v>
      </c>
      <c r="D71">
        <v>500</v>
      </c>
      <c r="E71">
        <v>500</v>
      </c>
      <c r="F71">
        <v>500</v>
      </c>
      <c r="G71" s="1">
        <v>8117.9650000000001</v>
      </c>
      <c r="H71" s="1">
        <v>3.5299999999999998E-2</v>
      </c>
      <c r="I71" s="1">
        <v>314.3</v>
      </c>
      <c r="J71" s="1">
        <v>1.006</v>
      </c>
      <c r="K71" s="1">
        <v>133947.9</v>
      </c>
      <c r="L71" s="1">
        <v>3804.1</v>
      </c>
      <c r="M71" s="1">
        <v>172.9</v>
      </c>
      <c r="N71" s="1">
        <v>86.5</v>
      </c>
      <c r="O71">
        <v>509</v>
      </c>
    </row>
    <row r="72" spans="1:15" x14ac:dyDescent="0.25">
      <c r="A72" s="1">
        <v>309.49700000000001</v>
      </c>
      <c r="B72" s="1" t="s">
        <v>15</v>
      </c>
      <c r="C72" s="1" t="s">
        <v>16</v>
      </c>
      <c r="D72">
        <v>500</v>
      </c>
      <c r="E72">
        <v>500</v>
      </c>
      <c r="F72">
        <v>500</v>
      </c>
      <c r="G72" s="1">
        <v>8174.8040000000001</v>
      </c>
      <c r="H72" s="1">
        <v>3.5900000000000001E-2</v>
      </c>
      <c r="I72" s="1">
        <v>315.3</v>
      </c>
      <c r="J72" s="1">
        <v>1.006</v>
      </c>
      <c r="K72" s="1">
        <v>135109.5</v>
      </c>
      <c r="L72" s="1">
        <v>3937.7</v>
      </c>
      <c r="M72" s="1">
        <v>179</v>
      </c>
      <c r="N72" s="1">
        <v>89.5</v>
      </c>
      <c r="O72">
        <v>509</v>
      </c>
    </row>
    <row r="73" spans="1:15" x14ac:dyDescent="0.25">
      <c r="A73" s="1">
        <v>310.50700000000001</v>
      </c>
      <c r="B73" s="1" t="s">
        <v>15</v>
      </c>
      <c r="C73" s="1" t="s">
        <v>16</v>
      </c>
      <c r="D73">
        <v>500</v>
      </c>
      <c r="E73">
        <v>500</v>
      </c>
      <c r="F73">
        <v>500</v>
      </c>
      <c r="G73" s="1">
        <v>8176.6329999999998</v>
      </c>
      <c r="H73" s="1">
        <v>3.6999999999999998E-2</v>
      </c>
      <c r="I73" s="1">
        <v>314.3</v>
      </c>
      <c r="J73" s="1">
        <v>1.01</v>
      </c>
      <c r="K73" s="1">
        <v>135122.79999999999</v>
      </c>
      <c r="L73" s="1">
        <v>3963.1</v>
      </c>
      <c r="M73" s="1">
        <v>179.2</v>
      </c>
      <c r="N73" s="1">
        <v>90.1</v>
      </c>
      <c r="O73">
        <v>509</v>
      </c>
    </row>
    <row r="74" spans="1:15" x14ac:dyDescent="0.25">
      <c r="A74" s="1">
        <v>311.50799999999998</v>
      </c>
      <c r="B74" s="1" t="s">
        <v>15</v>
      </c>
      <c r="C74" s="1" t="s">
        <v>16</v>
      </c>
      <c r="D74">
        <v>500</v>
      </c>
      <c r="E74">
        <v>500</v>
      </c>
      <c r="F74">
        <v>500</v>
      </c>
      <c r="G74" s="1">
        <v>8133.4719999999998</v>
      </c>
      <c r="H74" s="1">
        <v>3.56E-2</v>
      </c>
      <c r="I74" s="1">
        <v>313.8</v>
      </c>
      <c r="J74" s="1">
        <v>1.0009999999999999</v>
      </c>
      <c r="K74" s="1">
        <v>134205.29999999999</v>
      </c>
      <c r="L74" s="1">
        <v>3823.1</v>
      </c>
      <c r="M74" s="1">
        <v>172.8</v>
      </c>
      <c r="N74" s="1">
        <v>86.9</v>
      </c>
      <c r="O74">
        <v>509</v>
      </c>
    </row>
    <row r="75" spans="1:15" x14ac:dyDescent="0.25">
      <c r="A75" s="1">
        <v>312.51499999999999</v>
      </c>
      <c r="B75" s="1" t="s">
        <v>15</v>
      </c>
      <c r="C75" s="1" t="s">
        <v>16</v>
      </c>
      <c r="D75">
        <v>500</v>
      </c>
      <c r="E75">
        <v>500</v>
      </c>
      <c r="F75">
        <v>500</v>
      </c>
      <c r="G75" s="1">
        <v>8184.9269999999997</v>
      </c>
      <c r="H75" s="1">
        <v>3.6200000000000003E-2</v>
      </c>
      <c r="I75" s="1">
        <v>314</v>
      </c>
      <c r="J75" s="1">
        <v>1.0069999999999999</v>
      </c>
      <c r="K75" s="1">
        <v>135324.9</v>
      </c>
      <c r="L75" s="1">
        <v>3976.8</v>
      </c>
      <c r="M75" s="1">
        <v>180.8</v>
      </c>
      <c r="N75" s="1">
        <v>90.4</v>
      </c>
      <c r="O75">
        <v>509</v>
      </c>
    </row>
    <row r="76" spans="1:15" x14ac:dyDescent="0.25">
      <c r="A76" s="1">
        <v>313.51900000000001</v>
      </c>
      <c r="B76" s="1" t="s">
        <v>15</v>
      </c>
      <c r="C76" s="1" t="s">
        <v>16</v>
      </c>
      <c r="D76">
        <v>500</v>
      </c>
      <c r="E76">
        <v>500</v>
      </c>
      <c r="F76">
        <v>500</v>
      </c>
      <c r="G76" s="1">
        <v>8180.2610000000004</v>
      </c>
      <c r="H76" s="1">
        <v>3.56E-2</v>
      </c>
      <c r="I76" s="1">
        <v>313.2</v>
      </c>
      <c r="J76" s="1">
        <v>1.004</v>
      </c>
      <c r="K76" s="1">
        <v>135107.70000000001</v>
      </c>
      <c r="L76" s="1">
        <v>3899.9</v>
      </c>
      <c r="M76" s="1">
        <v>177.3</v>
      </c>
      <c r="N76" s="1">
        <v>88.6</v>
      </c>
      <c r="O76">
        <v>509</v>
      </c>
    </row>
    <row r="77" spans="1:15" x14ac:dyDescent="0.25">
      <c r="A77" s="1">
        <f>SUBTOTAL(101,RB_20261022_150830[client_time_s])</f>
        <v>276.28868000000006</v>
      </c>
      <c r="B77" s="1"/>
      <c r="C77" s="1"/>
      <c r="D77">
        <f>SUBTOTAL(101,RB_20261022_150830[configured_actors])</f>
        <v>500</v>
      </c>
      <c r="E77">
        <f>SUBTOTAL(101,RB_20261022_150830[observed_actors])</f>
        <v>500</v>
      </c>
      <c r="F77">
        <f>SUBTOTAL(101,RB_20261022_150830[actors_with_movement_samples])</f>
        <v>500</v>
      </c>
      <c r="G77" s="1">
        <f>SUBTOTAL(101,RB_20261022_150830[movement_events_per_s])</f>
        <v>8046.5699066666666</v>
      </c>
      <c r="H77" s="1">
        <f>SUBTOTAL(101,RB_20261022_150830[mean_age_since_event_s])</f>
        <v>3.6754666666666665E-2</v>
      </c>
      <c r="I77" s="1">
        <f>SUBTOTAL(101,RB_20261022_150830[client_ping_ms])</f>
        <v>314.49066666666664</v>
      </c>
      <c r="J77" s="1">
        <f>SUBTOTAL(101,RB_20261022_150830[net_sample_duration_s])</f>
        <v>1.0061351351351355</v>
      </c>
      <c r="K77" s="1">
        <f>SUBTOTAL(101,RB_20261022_150830[in_bytes_per_s])</f>
        <v>134714.30540540541</v>
      </c>
      <c r="L77" s="1">
        <f>SUBTOTAL(101,RB_20261022_150830[out_bytes_per_s])</f>
        <v>3897.9027027027018</v>
      </c>
      <c r="M77" s="1">
        <f>SUBTOTAL(101,RB_20261022_150830[in_packets_per_s])</f>
        <v>177.04594594594596</v>
      </c>
      <c r="N77" s="1">
        <f>SUBTOTAL(101,RB_20261022_150830[out_packets_per_s])</f>
        <v>88.594594594594582</v>
      </c>
      <c r="O77">
        <f>SUBTOTAL(101,RB_20261022_150830[net_actor_channels])</f>
        <v>509</v>
      </c>
    </row>
    <row r="78" spans="1:15" x14ac:dyDescent="0.25">
      <c r="K78">
        <f>K77/1024</f>
        <v>131.55693887246622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3248-044C-4077-9121-5BF5CAD365EA}">
  <dimension ref="A1:O67"/>
  <sheetViews>
    <sheetView topLeftCell="D49" workbookViewId="0">
      <selection activeCell="M68" sqref="M68"/>
    </sheetView>
  </sheetViews>
  <sheetFormatPr defaultRowHeight="15" x14ac:dyDescent="0.25"/>
  <cols>
    <col min="1" max="1" width="15.42578125" bestFit="1" customWidth="1"/>
    <col min="2" max="2" width="14.85546875" bestFit="1" customWidth="1"/>
    <col min="3" max="3" width="10" bestFit="1" customWidth="1"/>
    <col min="4" max="4" width="19.7109375" bestFit="1" customWidth="1"/>
    <col min="5" max="5" width="18.28515625" bestFit="1" customWidth="1"/>
    <col min="6" max="6" width="33.28515625" bestFit="1" customWidth="1"/>
    <col min="7" max="7" width="26.140625" bestFit="1" customWidth="1"/>
    <col min="8" max="8" width="26.28515625" bestFit="1" customWidth="1"/>
    <col min="9" max="9" width="16.85546875" bestFit="1" customWidth="1"/>
    <col min="10" max="10" width="24.42578125" bestFit="1" customWidth="1"/>
    <col min="11" max="11" width="16.7109375" bestFit="1" customWidth="1"/>
    <col min="12" max="12" width="18" bestFit="1" customWidth="1"/>
    <col min="13" max="13" width="18.7109375" bestFit="1" customWidth="1"/>
    <col min="14" max="14" width="20.140625" bestFit="1" customWidth="1"/>
    <col min="15" max="15" width="2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346.83199999999999</v>
      </c>
      <c r="B2" s="1" t="s">
        <v>15</v>
      </c>
      <c r="C2" s="1" t="s">
        <v>18</v>
      </c>
      <c r="D2">
        <v>500</v>
      </c>
      <c r="E2">
        <v>500</v>
      </c>
      <c r="F2">
        <v>500</v>
      </c>
      <c r="G2" s="1">
        <v>0</v>
      </c>
      <c r="H2" s="1">
        <v>0.25790000000000002</v>
      </c>
      <c r="I2" s="1">
        <v>317.60000000000002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>
        <v>509</v>
      </c>
    </row>
    <row r="3" spans="1:15" x14ac:dyDescent="0.25">
      <c r="A3" s="1">
        <v>347.83300000000003</v>
      </c>
      <c r="B3" s="1" t="s">
        <v>15</v>
      </c>
      <c r="C3" s="1" t="s">
        <v>18</v>
      </c>
      <c r="D3">
        <v>500</v>
      </c>
      <c r="E3">
        <v>500</v>
      </c>
      <c r="F3">
        <v>500</v>
      </c>
      <c r="G3" s="1">
        <v>2767.0549999999998</v>
      </c>
      <c r="H3" s="1">
        <v>0.25230000000000002</v>
      </c>
      <c r="I3" s="1">
        <v>317.60000000000002</v>
      </c>
      <c r="J3" s="1">
        <v>1</v>
      </c>
      <c r="K3" s="1">
        <v>46707</v>
      </c>
      <c r="L3" s="1">
        <v>3598.8</v>
      </c>
      <c r="M3" s="1">
        <v>94</v>
      </c>
      <c r="N3" s="1">
        <v>90</v>
      </c>
      <c r="O3">
        <v>509</v>
      </c>
    </row>
    <row r="4" spans="1:15" x14ac:dyDescent="0.25">
      <c r="A4" s="1">
        <v>348.834</v>
      </c>
      <c r="B4" s="1" t="s">
        <v>15</v>
      </c>
      <c r="C4" s="1" t="s">
        <v>18</v>
      </c>
      <c r="D4">
        <v>500</v>
      </c>
      <c r="E4">
        <v>500</v>
      </c>
      <c r="F4">
        <v>500</v>
      </c>
      <c r="G4" s="1">
        <v>2799.2040000000002</v>
      </c>
      <c r="H4" s="1">
        <v>0.2407</v>
      </c>
      <c r="I4" s="1">
        <v>316.60000000000002</v>
      </c>
      <c r="J4" s="1">
        <v>1.0009999999999999</v>
      </c>
      <c r="K4" s="1">
        <v>47208</v>
      </c>
      <c r="L4" s="1">
        <v>3595.1</v>
      </c>
      <c r="M4" s="1">
        <v>93.9</v>
      </c>
      <c r="N4" s="1">
        <v>89.9</v>
      </c>
      <c r="O4">
        <v>509</v>
      </c>
    </row>
    <row r="5" spans="1:15" x14ac:dyDescent="0.25">
      <c r="A5" s="1">
        <v>349.839</v>
      </c>
      <c r="B5" s="1" t="s">
        <v>15</v>
      </c>
      <c r="C5" s="1" t="s">
        <v>18</v>
      </c>
      <c r="D5">
        <v>500</v>
      </c>
      <c r="E5">
        <v>500</v>
      </c>
      <c r="F5">
        <v>500</v>
      </c>
      <c r="G5" s="1">
        <v>2771.9870000000001</v>
      </c>
      <c r="H5" s="1">
        <v>0.23369999999999999</v>
      </c>
      <c r="I5" s="1">
        <v>315.39999999999998</v>
      </c>
      <c r="J5" s="1">
        <v>1.0049999999999999</v>
      </c>
      <c r="K5" s="1">
        <v>46729.599999999999</v>
      </c>
      <c r="L5" s="1">
        <v>3583.2</v>
      </c>
      <c r="M5" s="1">
        <v>92.6</v>
      </c>
      <c r="N5" s="1">
        <v>89.6</v>
      </c>
      <c r="O5">
        <v>509</v>
      </c>
    </row>
    <row r="6" spans="1:15" x14ac:dyDescent="0.25">
      <c r="A6" s="1">
        <v>350.839</v>
      </c>
      <c r="B6" s="1" t="s">
        <v>15</v>
      </c>
      <c r="C6" s="1" t="s">
        <v>18</v>
      </c>
      <c r="D6">
        <v>500</v>
      </c>
      <c r="E6">
        <v>500</v>
      </c>
      <c r="F6">
        <v>500</v>
      </c>
      <c r="G6" s="1">
        <v>2770.9969999999998</v>
      </c>
      <c r="H6" s="1">
        <v>0.22439999999999999</v>
      </c>
      <c r="I6" s="1">
        <v>314.89999999999998</v>
      </c>
      <c r="J6" s="1">
        <v>1</v>
      </c>
      <c r="K6" s="1">
        <v>46814.9</v>
      </c>
      <c r="L6" s="1">
        <v>3600</v>
      </c>
      <c r="M6" s="1">
        <v>95</v>
      </c>
      <c r="N6" s="1">
        <v>90</v>
      </c>
      <c r="O6">
        <v>509</v>
      </c>
    </row>
    <row r="7" spans="1:15" x14ac:dyDescent="0.25">
      <c r="A7" s="1">
        <v>351.839</v>
      </c>
      <c r="B7" s="1" t="s">
        <v>15</v>
      </c>
      <c r="C7" s="1" t="s">
        <v>18</v>
      </c>
      <c r="D7">
        <v>500</v>
      </c>
      <c r="E7">
        <v>500</v>
      </c>
      <c r="F7">
        <v>500</v>
      </c>
      <c r="G7" s="1">
        <v>2794.239</v>
      </c>
      <c r="H7" s="1">
        <v>0.2109</v>
      </c>
      <c r="I7" s="1">
        <v>314</v>
      </c>
      <c r="J7" s="1">
        <v>1</v>
      </c>
      <c r="K7" s="1">
        <v>47133.2</v>
      </c>
      <c r="L7" s="1">
        <v>3599</v>
      </c>
      <c r="M7" s="1">
        <v>94</v>
      </c>
      <c r="N7" s="1">
        <v>90</v>
      </c>
      <c r="O7">
        <v>509</v>
      </c>
    </row>
    <row r="8" spans="1:15" x14ac:dyDescent="0.25">
      <c r="A8" s="1">
        <v>352.84899999999999</v>
      </c>
      <c r="B8" s="1" t="s">
        <v>15</v>
      </c>
      <c r="C8" s="1" t="s">
        <v>18</v>
      </c>
      <c r="D8">
        <v>500</v>
      </c>
      <c r="E8">
        <v>500</v>
      </c>
      <c r="F8">
        <v>500</v>
      </c>
      <c r="G8" s="1">
        <v>2793.3449999999998</v>
      </c>
      <c r="H8" s="1">
        <v>0.20619999999999999</v>
      </c>
      <c r="I8" s="1">
        <v>313.60000000000002</v>
      </c>
      <c r="J8" s="1">
        <v>1.01</v>
      </c>
      <c r="K8" s="1">
        <v>47151.199999999997</v>
      </c>
      <c r="L8" s="1">
        <v>3604.3</v>
      </c>
      <c r="M8" s="1">
        <v>95.1</v>
      </c>
      <c r="N8" s="1">
        <v>90.1</v>
      </c>
      <c r="O8">
        <v>509</v>
      </c>
    </row>
    <row r="9" spans="1:15" x14ac:dyDescent="0.25">
      <c r="A9" s="1">
        <v>353.85</v>
      </c>
      <c r="B9" s="1" t="s">
        <v>15</v>
      </c>
      <c r="C9" s="1" t="s">
        <v>18</v>
      </c>
      <c r="D9">
        <v>500</v>
      </c>
      <c r="E9">
        <v>500</v>
      </c>
      <c r="F9">
        <v>500</v>
      </c>
      <c r="G9" s="1">
        <v>2779.826</v>
      </c>
      <c r="H9" s="1">
        <v>0.19450000000000001</v>
      </c>
      <c r="I9" s="1">
        <v>313.89999999999998</v>
      </c>
      <c r="J9" s="1">
        <v>1.0009999999999999</v>
      </c>
      <c r="K9" s="1">
        <v>46873.5</v>
      </c>
      <c r="L9" s="1">
        <v>3595.9</v>
      </c>
      <c r="M9" s="1">
        <v>92.9</v>
      </c>
      <c r="N9" s="1">
        <v>89.9</v>
      </c>
      <c r="O9">
        <v>509</v>
      </c>
    </row>
    <row r="10" spans="1:15" x14ac:dyDescent="0.25">
      <c r="A10" s="1">
        <v>354.85</v>
      </c>
      <c r="B10" s="1" t="s">
        <v>15</v>
      </c>
      <c r="C10" s="1" t="s">
        <v>18</v>
      </c>
      <c r="D10">
        <v>500</v>
      </c>
      <c r="E10">
        <v>500</v>
      </c>
      <c r="F10">
        <v>500</v>
      </c>
      <c r="G10" s="1">
        <v>2774.9490000000001</v>
      </c>
      <c r="H10" s="1">
        <v>0.18290000000000001</v>
      </c>
      <c r="I10" s="1">
        <v>314.60000000000002</v>
      </c>
      <c r="J10" s="1">
        <v>1</v>
      </c>
      <c r="K10" s="1">
        <v>46861.1</v>
      </c>
      <c r="L10" s="1">
        <v>3599.9</v>
      </c>
      <c r="M10" s="1">
        <v>95</v>
      </c>
      <c r="N10" s="1">
        <v>90</v>
      </c>
      <c r="O10">
        <v>509</v>
      </c>
    </row>
    <row r="11" spans="1:15" x14ac:dyDescent="0.25">
      <c r="A11" s="1">
        <v>355.85199999999998</v>
      </c>
      <c r="B11" s="1" t="s">
        <v>15</v>
      </c>
      <c r="C11" s="1" t="s">
        <v>18</v>
      </c>
      <c r="D11">
        <v>500</v>
      </c>
      <c r="E11">
        <v>500</v>
      </c>
      <c r="F11">
        <v>500</v>
      </c>
      <c r="G11" s="1">
        <v>2781.0160000000001</v>
      </c>
      <c r="H11" s="1">
        <v>0.17349999999999999</v>
      </c>
      <c r="I11" s="1">
        <v>315.2</v>
      </c>
      <c r="J11" s="1">
        <v>1.002</v>
      </c>
      <c r="K11" s="1">
        <v>46922</v>
      </c>
      <c r="L11" s="1">
        <v>3592.3</v>
      </c>
      <c r="M11" s="1">
        <v>93.8</v>
      </c>
      <c r="N11" s="1">
        <v>89.8</v>
      </c>
      <c r="O11">
        <v>509</v>
      </c>
    </row>
    <row r="12" spans="1:15" x14ac:dyDescent="0.25">
      <c r="A12" s="1">
        <v>356.85399999999998</v>
      </c>
      <c r="B12" s="1" t="s">
        <v>15</v>
      </c>
      <c r="C12" s="1" t="s">
        <v>18</v>
      </c>
      <c r="D12">
        <v>500</v>
      </c>
      <c r="E12">
        <v>500</v>
      </c>
      <c r="F12">
        <v>500</v>
      </c>
      <c r="G12" s="1">
        <v>2785.9920000000002</v>
      </c>
      <c r="H12" s="1">
        <v>0.16389999999999999</v>
      </c>
      <c r="I12" s="1">
        <v>315</v>
      </c>
      <c r="J12" s="1">
        <v>1.002</v>
      </c>
      <c r="K12" s="1">
        <v>46964.6</v>
      </c>
      <c r="L12" s="1">
        <v>3593.5</v>
      </c>
      <c r="M12" s="1">
        <v>92.8</v>
      </c>
      <c r="N12" s="1">
        <v>89.8</v>
      </c>
      <c r="O12">
        <v>509</v>
      </c>
    </row>
    <row r="13" spans="1:15" x14ac:dyDescent="0.25">
      <c r="A13" s="1">
        <v>357.85399999999998</v>
      </c>
      <c r="B13" s="1" t="s">
        <v>15</v>
      </c>
      <c r="C13" s="1" t="s">
        <v>18</v>
      </c>
      <c r="D13">
        <v>500</v>
      </c>
      <c r="E13">
        <v>500</v>
      </c>
      <c r="F13">
        <v>500</v>
      </c>
      <c r="G13" s="1">
        <v>2781.1370000000002</v>
      </c>
      <c r="H13" s="1">
        <v>0.15229999999999999</v>
      </c>
      <c r="I13" s="1">
        <v>314.89999999999998</v>
      </c>
      <c r="J13" s="1">
        <v>1</v>
      </c>
      <c r="K13" s="1">
        <v>46880.5</v>
      </c>
      <c r="L13" s="1">
        <v>3598.9</v>
      </c>
      <c r="M13" s="1">
        <v>93</v>
      </c>
      <c r="N13" s="1">
        <v>90</v>
      </c>
      <c r="O13">
        <v>509</v>
      </c>
    </row>
    <row r="14" spans="1:15" x14ac:dyDescent="0.25">
      <c r="A14" s="1">
        <v>358.85399999999998</v>
      </c>
      <c r="B14" s="1" t="s">
        <v>15</v>
      </c>
      <c r="C14" s="1" t="s">
        <v>18</v>
      </c>
      <c r="D14">
        <v>500</v>
      </c>
      <c r="E14">
        <v>500</v>
      </c>
      <c r="F14">
        <v>500</v>
      </c>
      <c r="G14" s="1">
        <v>2781.596</v>
      </c>
      <c r="H14" s="1">
        <v>0.1416</v>
      </c>
      <c r="I14" s="1">
        <v>315.2</v>
      </c>
      <c r="J14" s="1">
        <v>1</v>
      </c>
      <c r="K14" s="1">
        <v>46871.199999999997</v>
      </c>
      <c r="L14" s="1">
        <v>3599.5</v>
      </c>
      <c r="M14" s="1">
        <v>92</v>
      </c>
      <c r="N14" s="1">
        <v>90</v>
      </c>
      <c r="O14">
        <v>509</v>
      </c>
    </row>
    <row r="15" spans="1:15" x14ac:dyDescent="0.25">
      <c r="A15" s="1">
        <v>359.85500000000002</v>
      </c>
      <c r="B15" s="1" t="s">
        <v>15</v>
      </c>
      <c r="C15" s="1" t="s">
        <v>18</v>
      </c>
      <c r="D15">
        <v>500</v>
      </c>
      <c r="E15">
        <v>500</v>
      </c>
      <c r="F15">
        <v>500</v>
      </c>
      <c r="G15" s="1">
        <v>2785.2829999999999</v>
      </c>
      <c r="H15" s="1">
        <v>0.13239999999999999</v>
      </c>
      <c r="I15" s="1">
        <v>314.2</v>
      </c>
      <c r="J15" s="1">
        <v>1.0009999999999999</v>
      </c>
      <c r="K15" s="1">
        <v>46992</v>
      </c>
      <c r="L15" s="1">
        <v>3597.8</v>
      </c>
      <c r="M15" s="1">
        <v>93.9</v>
      </c>
      <c r="N15" s="1">
        <v>89.9</v>
      </c>
      <c r="O15">
        <v>509</v>
      </c>
    </row>
    <row r="16" spans="1:15" x14ac:dyDescent="0.25">
      <c r="A16" s="1">
        <v>360.85599999999999</v>
      </c>
      <c r="B16" s="1" t="s">
        <v>15</v>
      </c>
      <c r="C16" s="1" t="s">
        <v>18</v>
      </c>
      <c r="D16">
        <v>500</v>
      </c>
      <c r="E16">
        <v>500</v>
      </c>
      <c r="F16">
        <v>500</v>
      </c>
      <c r="G16" s="1">
        <v>2779.1419999999998</v>
      </c>
      <c r="H16" s="1">
        <v>0.12180000000000001</v>
      </c>
      <c r="I16" s="1">
        <v>315.10000000000002</v>
      </c>
      <c r="J16" s="1">
        <v>1.0009999999999999</v>
      </c>
      <c r="K16" s="1">
        <v>46819.7</v>
      </c>
      <c r="L16" s="1">
        <v>3597.6</v>
      </c>
      <c r="M16" s="1">
        <v>91.9</v>
      </c>
      <c r="N16" s="1">
        <v>89.9</v>
      </c>
      <c r="O16">
        <v>509</v>
      </c>
    </row>
    <row r="17" spans="1:15" x14ac:dyDescent="0.25">
      <c r="A17" s="1">
        <v>361.85700000000003</v>
      </c>
      <c r="B17" s="1" t="s">
        <v>15</v>
      </c>
      <c r="C17" s="1" t="s">
        <v>18</v>
      </c>
      <c r="D17">
        <v>500</v>
      </c>
      <c r="E17">
        <v>500</v>
      </c>
      <c r="F17">
        <v>500</v>
      </c>
      <c r="G17" s="1">
        <v>2783.4430000000002</v>
      </c>
      <c r="H17" s="1">
        <v>0.1099</v>
      </c>
      <c r="I17" s="1">
        <v>315.7</v>
      </c>
      <c r="J17" s="1">
        <v>1.0009999999999999</v>
      </c>
      <c r="K17" s="1">
        <v>46890.9</v>
      </c>
      <c r="L17" s="1">
        <v>3596.7</v>
      </c>
      <c r="M17" s="1">
        <v>91.9</v>
      </c>
      <c r="N17" s="1">
        <v>89.9</v>
      </c>
      <c r="O17">
        <v>509</v>
      </c>
    </row>
    <row r="18" spans="1:15" x14ac:dyDescent="0.25">
      <c r="A18" s="1">
        <v>362.86</v>
      </c>
      <c r="B18" s="1" t="s">
        <v>15</v>
      </c>
      <c r="C18" s="1" t="s">
        <v>18</v>
      </c>
      <c r="D18">
        <v>500</v>
      </c>
      <c r="E18">
        <v>500</v>
      </c>
      <c r="F18">
        <v>500</v>
      </c>
      <c r="G18" s="1">
        <v>2783.4839999999999</v>
      </c>
      <c r="H18" s="1">
        <v>9.8599999999999993E-2</v>
      </c>
      <c r="I18" s="1">
        <v>315.60000000000002</v>
      </c>
      <c r="J18" s="1">
        <v>1.0029999999999999</v>
      </c>
      <c r="K18" s="1">
        <v>46802</v>
      </c>
      <c r="L18" s="1">
        <v>3587.7</v>
      </c>
      <c r="M18" s="1">
        <v>89.7</v>
      </c>
      <c r="N18" s="1">
        <v>89.7</v>
      </c>
      <c r="O18">
        <v>509</v>
      </c>
    </row>
    <row r="19" spans="1:15" x14ac:dyDescent="0.25">
      <c r="A19" s="1">
        <v>363.863</v>
      </c>
      <c r="B19" s="1" t="s">
        <v>15</v>
      </c>
      <c r="C19" s="1" t="s">
        <v>18</v>
      </c>
      <c r="D19">
        <v>500</v>
      </c>
      <c r="E19">
        <v>500</v>
      </c>
      <c r="F19">
        <v>500</v>
      </c>
      <c r="G19" s="1">
        <v>2777.768</v>
      </c>
      <c r="H19" s="1">
        <v>9.2399999999999996E-2</v>
      </c>
      <c r="I19" s="1">
        <v>315.89999999999998</v>
      </c>
      <c r="J19" s="1">
        <v>1.0029999999999999</v>
      </c>
      <c r="K19" s="1">
        <v>46871</v>
      </c>
      <c r="L19" s="1">
        <v>3590.7</v>
      </c>
      <c r="M19" s="1">
        <v>93.8</v>
      </c>
      <c r="N19" s="1">
        <v>89.8</v>
      </c>
      <c r="O19">
        <v>509</v>
      </c>
    </row>
    <row r="20" spans="1:15" x14ac:dyDescent="0.25">
      <c r="A20" s="1">
        <v>364.87299999999999</v>
      </c>
      <c r="B20" s="1" t="s">
        <v>15</v>
      </c>
      <c r="C20" s="1" t="s">
        <v>18</v>
      </c>
      <c r="D20">
        <v>500</v>
      </c>
      <c r="E20">
        <v>500</v>
      </c>
      <c r="F20">
        <v>500</v>
      </c>
      <c r="G20" s="1">
        <v>2794.9250000000002</v>
      </c>
      <c r="H20" s="1">
        <v>8.4900000000000003E-2</v>
      </c>
      <c r="I20" s="1">
        <v>316.39999999999998</v>
      </c>
      <c r="J20" s="1">
        <v>1.01</v>
      </c>
      <c r="K20" s="1">
        <v>47094.9</v>
      </c>
      <c r="L20" s="1">
        <v>3603.8</v>
      </c>
      <c r="M20" s="1">
        <v>93.1</v>
      </c>
      <c r="N20" s="1">
        <v>90.1</v>
      </c>
      <c r="O20">
        <v>509</v>
      </c>
    </row>
    <row r="21" spans="1:15" x14ac:dyDescent="0.25">
      <c r="A21" s="1">
        <v>365.87599999999998</v>
      </c>
      <c r="B21" s="1" t="s">
        <v>15</v>
      </c>
      <c r="C21" s="1" t="s">
        <v>18</v>
      </c>
      <c r="D21">
        <v>500</v>
      </c>
      <c r="E21">
        <v>500</v>
      </c>
      <c r="F21">
        <v>500</v>
      </c>
      <c r="G21" s="1">
        <v>2769.105</v>
      </c>
      <c r="H21" s="1">
        <v>7.5200000000000003E-2</v>
      </c>
      <c r="I21" s="1">
        <v>316.5</v>
      </c>
      <c r="J21" s="1">
        <v>1.0029999999999999</v>
      </c>
      <c r="K21" s="1">
        <v>46667.9</v>
      </c>
      <c r="L21" s="1">
        <v>3549.9</v>
      </c>
      <c r="M21" s="1">
        <v>91.7</v>
      </c>
      <c r="N21" s="1">
        <v>88.7</v>
      </c>
      <c r="O21">
        <v>509</v>
      </c>
    </row>
    <row r="22" spans="1:15" x14ac:dyDescent="0.25">
      <c r="A22" s="1">
        <v>366.87599999999998</v>
      </c>
      <c r="B22" s="1" t="s">
        <v>15</v>
      </c>
      <c r="C22" s="1" t="s">
        <v>18</v>
      </c>
      <c r="D22">
        <v>500</v>
      </c>
      <c r="E22">
        <v>500</v>
      </c>
      <c r="F22">
        <v>500</v>
      </c>
      <c r="G22" s="1">
        <v>2765.498</v>
      </c>
      <c r="H22" s="1">
        <v>7.0400000000000004E-2</v>
      </c>
      <c r="I22" s="1">
        <v>315.5</v>
      </c>
      <c r="J22" s="1">
        <v>1</v>
      </c>
      <c r="K22" s="1">
        <v>46606.5</v>
      </c>
      <c r="L22" s="1">
        <v>3639.3</v>
      </c>
      <c r="M22" s="1">
        <v>92</v>
      </c>
      <c r="N22" s="1">
        <v>91</v>
      </c>
      <c r="O22">
        <v>509</v>
      </c>
    </row>
    <row r="23" spans="1:15" x14ac:dyDescent="0.25">
      <c r="A23" s="1">
        <v>367.87700000000001</v>
      </c>
      <c r="B23" s="1" t="s">
        <v>15</v>
      </c>
      <c r="C23" s="1" t="s">
        <v>18</v>
      </c>
      <c r="D23">
        <v>500</v>
      </c>
      <c r="E23">
        <v>500</v>
      </c>
      <c r="F23">
        <v>500</v>
      </c>
      <c r="G23" s="1">
        <v>2778.4380000000001</v>
      </c>
      <c r="H23" s="1">
        <v>8.0799999999999997E-2</v>
      </c>
      <c r="I23" s="1">
        <v>315.89999999999998</v>
      </c>
      <c r="J23" s="1">
        <v>1.0009999999999999</v>
      </c>
      <c r="K23" s="1">
        <v>46802</v>
      </c>
      <c r="L23" s="1">
        <v>3595.4</v>
      </c>
      <c r="M23" s="1">
        <v>91.9</v>
      </c>
      <c r="N23" s="1">
        <v>89.9</v>
      </c>
      <c r="O23">
        <v>509</v>
      </c>
    </row>
    <row r="24" spans="1:15" x14ac:dyDescent="0.25">
      <c r="A24" s="1">
        <v>368.88799999999998</v>
      </c>
      <c r="B24" s="1" t="s">
        <v>15</v>
      </c>
      <c r="C24" s="1" t="s">
        <v>18</v>
      </c>
      <c r="D24">
        <v>500</v>
      </c>
      <c r="E24">
        <v>500</v>
      </c>
      <c r="F24">
        <v>500</v>
      </c>
      <c r="G24" s="1">
        <v>2758.431</v>
      </c>
      <c r="H24" s="1">
        <v>9.6600000000000005E-2</v>
      </c>
      <c r="I24" s="1">
        <v>316.10000000000002</v>
      </c>
      <c r="J24" s="1">
        <v>1.0109999999999999</v>
      </c>
      <c r="K24" s="1">
        <v>46523.4</v>
      </c>
      <c r="L24" s="1">
        <v>3600.1</v>
      </c>
      <c r="M24" s="1">
        <v>93</v>
      </c>
      <c r="N24" s="1">
        <v>90</v>
      </c>
      <c r="O24">
        <v>509</v>
      </c>
    </row>
    <row r="25" spans="1:15" x14ac:dyDescent="0.25">
      <c r="A25" s="1">
        <v>369.89</v>
      </c>
      <c r="B25" s="1" t="s">
        <v>15</v>
      </c>
      <c r="C25" s="1" t="s">
        <v>18</v>
      </c>
      <c r="D25">
        <v>500</v>
      </c>
      <c r="E25">
        <v>500</v>
      </c>
      <c r="F25">
        <v>500</v>
      </c>
      <c r="G25" s="1">
        <v>2702.9459999999999</v>
      </c>
      <c r="H25" s="1">
        <v>0.16059999999999999</v>
      </c>
      <c r="I25" s="1">
        <v>316.7</v>
      </c>
      <c r="J25" s="1">
        <v>1.002</v>
      </c>
      <c r="K25" s="1">
        <v>45610.8</v>
      </c>
      <c r="L25" s="1">
        <v>3592</v>
      </c>
      <c r="M25" s="1">
        <v>91.8</v>
      </c>
      <c r="N25" s="1">
        <v>89.8</v>
      </c>
      <c r="O25">
        <v>509</v>
      </c>
    </row>
    <row r="26" spans="1:15" x14ac:dyDescent="0.25">
      <c r="A26" s="1">
        <v>370.899</v>
      </c>
      <c r="B26" s="1" t="s">
        <v>15</v>
      </c>
      <c r="C26" s="1" t="s">
        <v>18</v>
      </c>
      <c r="D26">
        <v>500</v>
      </c>
      <c r="E26">
        <v>500</v>
      </c>
      <c r="F26">
        <v>500</v>
      </c>
      <c r="G26" s="1">
        <v>2732.0279999999998</v>
      </c>
      <c r="H26" s="1">
        <v>0.19989999999999999</v>
      </c>
      <c r="I26" s="1">
        <v>317.89999999999998</v>
      </c>
      <c r="J26" s="1">
        <v>1.0089999999999999</v>
      </c>
      <c r="K26" s="1">
        <v>46083.6</v>
      </c>
      <c r="L26" s="1">
        <v>3608.3</v>
      </c>
      <c r="M26" s="1">
        <v>92.2</v>
      </c>
      <c r="N26" s="1">
        <v>90.2</v>
      </c>
      <c r="O26">
        <v>509</v>
      </c>
    </row>
    <row r="27" spans="1:15" x14ac:dyDescent="0.25">
      <c r="A27" s="1">
        <v>371.91</v>
      </c>
      <c r="B27" s="1" t="s">
        <v>15</v>
      </c>
      <c r="C27" s="1" t="s">
        <v>18</v>
      </c>
      <c r="D27">
        <v>500</v>
      </c>
      <c r="E27">
        <v>500</v>
      </c>
      <c r="F27">
        <v>500</v>
      </c>
      <c r="G27" s="1">
        <v>2774.576</v>
      </c>
      <c r="H27" s="1">
        <v>0.21640000000000001</v>
      </c>
      <c r="I27" s="1">
        <v>317.60000000000002</v>
      </c>
      <c r="J27" s="1">
        <v>1.0109999999999999</v>
      </c>
      <c r="K27" s="1">
        <v>46773</v>
      </c>
      <c r="L27" s="1">
        <v>3601.8</v>
      </c>
      <c r="M27" s="1">
        <v>93</v>
      </c>
      <c r="N27" s="1">
        <v>90</v>
      </c>
      <c r="O27">
        <v>509</v>
      </c>
    </row>
    <row r="28" spans="1:15" x14ac:dyDescent="0.25">
      <c r="A28" s="1">
        <v>372.91</v>
      </c>
      <c r="B28" s="1" t="s">
        <v>15</v>
      </c>
      <c r="C28" s="1" t="s">
        <v>18</v>
      </c>
      <c r="D28">
        <v>500</v>
      </c>
      <c r="E28">
        <v>500</v>
      </c>
      <c r="F28">
        <v>500</v>
      </c>
      <c r="G28" s="1">
        <v>2744.181</v>
      </c>
      <c r="H28" s="1">
        <v>0.23380000000000001</v>
      </c>
      <c r="I28" s="1">
        <v>317.5</v>
      </c>
      <c r="J28" s="1">
        <v>1</v>
      </c>
      <c r="K28" s="1">
        <v>46313.2</v>
      </c>
      <c r="L28" s="1">
        <v>3598.9</v>
      </c>
      <c r="M28" s="1">
        <v>93</v>
      </c>
      <c r="N28" s="1">
        <v>90</v>
      </c>
      <c r="O28">
        <v>509</v>
      </c>
    </row>
    <row r="29" spans="1:15" x14ac:dyDescent="0.25">
      <c r="A29" s="1">
        <v>373.91300000000001</v>
      </c>
      <c r="B29" s="1" t="s">
        <v>15</v>
      </c>
      <c r="C29" s="1" t="s">
        <v>18</v>
      </c>
      <c r="D29">
        <v>500</v>
      </c>
      <c r="E29">
        <v>500</v>
      </c>
      <c r="F29">
        <v>500</v>
      </c>
      <c r="G29" s="1">
        <v>2767.54</v>
      </c>
      <c r="H29" s="1">
        <v>0.2366</v>
      </c>
      <c r="I29" s="1">
        <v>317.3</v>
      </c>
      <c r="J29" s="1">
        <v>1.0029999999999999</v>
      </c>
      <c r="K29" s="1">
        <v>46627.3</v>
      </c>
      <c r="L29" s="1">
        <v>3590.3</v>
      </c>
      <c r="M29" s="1">
        <v>91.8</v>
      </c>
      <c r="N29" s="1">
        <v>89.8</v>
      </c>
      <c r="O29">
        <v>509</v>
      </c>
    </row>
    <row r="30" spans="1:15" x14ac:dyDescent="0.25">
      <c r="A30" s="1">
        <v>374.91300000000001</v>
      </c>
      <c r="B30" s="1" t="s">
        <v>15</v>
      </c>
      <c r="C30" s="1" t="s">
        <v>18</v>
      </c>
      <c r="D30">
        <v>500</v>
      </c>
      <c r="E30">
        <v>500</v>
      </c>
      <c r="F30">
        <v>500</v>
      </c>
      <c r="G30" s="1">
        <v>2773.2979999999998</v>
      </c>
      <c r="H30" s="1">
        <v>0.24129999999999999</v>
      </c>
      <c r="I30" s="1">
        <v>317.5</v>
      </c>
      <c r="J30" s="1">
        <v>1</v>
      </c>
      <c r="K30" s="1">
        <v>46685.2</v>
      </c>
      <c r="L30" s="1">
        <v>3599.1</v>
      </c>
      <c r="M30" s="1">
        <v>91</v>
      </c>
      <c r="N30" s="1">
        <v>90</v>
      </c>
      <c r="O30">
        <v>509</v>
      </c>
    </row>
    <row r="31" spans="1:15" x14ac:dyDescent="0.25">
      <c r="A31" s="1">
        <v>375.91399999999999</v>
      </c>
      <c r="B31" s="1" t="s">
        <v>15</v>
      </c>
      <c r="C31" s="1" t="s">
        <v>18</v>
      </c>
      <c r="D31">
        <v>500</v>
      </c>
      <c r="E31">
        <v>500</v>
      </c>
      <c r="F31">
        <v>500</v>
      </c>
      <c r="G31" s="1">
        <v>2795.982</v>
      </c>
      <c r="H31" s="1">
        <v>0.2311</v>
      </c>
      <c r="I31" s="1">
        <v>317.8</v>
      </c>
      <c r="J31" s="1">
        <v>1.0009999999999999</v>
      </c>
      <c r="K31" s="1">
        <v>47038.400000000001</v>
      </c>
      <c r="L31" s="1">
        <v>3594.8</v>
      </c>
      <c r="M31" s="1">
        <v>90.9</v>
      </c>
      <c r="N31" s="1">
        <v>89.9</v>
      </c>
      <c r="O31">
        <v>509</v>
      </c>
    </row>
    <row r="32" spans="1:15" x14ac:dyDescent="0.25">
      <c r="A32" s="1">
        <v>376.91500000000002</v>
      </c>
      <c r="B32" s="1" t="s">
        <v>15</v>
      </c>
      <c r="C32" s="1" t="s">
        <v>18</v>
      </c>
      <c r="D32">
        <v>500</v>
      </c>
      <c r="E32">
        <v>500</v>
      </c>
      <c r="F32">
        <v>500</v>
      </c>
      <c r="G32" s="1">
        <v>2773.5720000000001</v>
      </c>
      <c r="H32" s="1">
        <v>0.2223</v>
      </c>
      <c r="I32" s="1">
        <v>316.5</v>
      </c>
      <c r="J32" s="1">
        <v>1</v>
      </c>
      <c r="K32" s="1">
        <v>46813.8</v>
      </c>
      <c r="L32" s="1">
        <v>3599.4</v>
      </c>
      <c r="M32" s="1">
        <v>94</v>
      </c>
      <c r="N32" s="1">
        <v>90</v>
      </c>
      <c r="O32">
        <v>509</v>
      </c>
    </row>
    <row r="33" spans="1:15" x14ac:dyDescent="0.25">
      <c r="A33" s="1">
        <v>377.91500000000002</v>
      </c>
      <c r="B33" s="1" t="s">
        <v>15</v>
      </c>
      <c r="C33" s="1" t="s">
        <v>18</v>
      </c>
      <c r="D33">
        <v>500</v>
      </c>
      <c r="E33">
        <v>500</v>
      </c>
      <c r="F33">
        <v>500</v>
      </c>
      <c r="G33" s="1">
        <v>2779.3560000000002</v>
      </c>
      <c r="H33" s="1">
        <v>0.21210000000000001</v>
      </c>
      <c r="I33" s="1">
        <v>315.39999999999998</v>
      </c>
      <c r="J33" s="1">
        <v>1</v>
      </c>
      <c r="K33" s="1">
        <v>46863.1</v>
      </c>
      <c r="L33" s="1">
        <v>3599.2</v>
      </c>
      <c r="M33" s="1">
        <v>93</v>
      </c>
      <c r="N33" s="1">
        <v>90</v>
      </c>
      <c r="O33">
        <v>509</v>
      </c>
    </row>
    <row r="34" spans="1:15" x14ac:dyDescent="0.25">
      <c r="A34" s="1">
        <v>378.91500000000002</v>
      </c>
      <c r="B34" s="1" t="s">
        <v>15</v>
      </c>
      <c r="C34" s="1" t="s">
        <v>18</v>
      </c>
      <c r="D34">
        <v>500</v>
      </c>
      <c r="E34">
        <v>500</v>
      </c>
      <c r="F34">
        <v>500</v>
      </c>
      <c r="G34" s="1">
        <v>2808.3330000000001</v>
      </c>
      <c r="H34" s="1">
        <v>0.19900000000000001</v>
      </c>
      <c r="I34" s="1">
        <v>315.2</v>
      </c>
      <c r="J34" s="1">
        <v>1</v>
      </c>
      <c r="K34" s="1">
        <v>47224.800000000003</v>
      </c>
      <c r="L34" s="1">
        <v>3599.1</v>
      </c>
      <c r="M34" s="1">
        <v>91</v>
      </c>
      <c r="N34" s="1">
        <v>90</v>
      </c>
      <c r="O34">
        <v>509</v>
      </c>
    </row>
    <row r="35" spans="1:15" x14ac:dyDescent="0.25">
      <c r="A35" s="1">
        <v>379.92500000000001</v>
      </c>
      <c r="B35" s="1" t="s">
        <v>15</v>
      </c>
      <c r="C35" s="1" t="s">
        <v>18</v>
      </c>
      <c r="D35">
        <v>500</v>
      </c>
      <c r="E35">
        <v>500</v>
      </c>
      <c r="F35">
        <v>500</v>
      </c>
      <c r="G35" s="1">
        <v>2776.7829999999999</v>
      </c>
      <c r="H35" s="1">
        <v>0.19600000000000001</v>
      </c>
      <c r="I35" s="1">
        <v>315.39999999999998</v>
      </c>
      <c r="J35" s="1">
        <v>1.01</v>
      </c>
      <c r="K35" s="1">
        <v>46723.199999999997</v>
      </c>
      <c r="L35" s="1">
        <v>3603.4</v>
      </c>
      <c r="M35" s="1">
        <v>90.1</v>
      </c>
      <c r="N35" s="1">
        <v>90.1</v>
      </c>
      <c r="O35">
        <v>509</v>
      </c>
    </row>
    <row r="36" spans="1:15" x14ac:dyDescent="0.25">
      <c r="A36" s="1">
        <v>380.93</v>
      </c>
      <c r="B36" s="1" t="s">
        <v>15</v>
      </c>
      <c r="C36" s="1" t="s">
        <v>18</v>
      </c>
      <c r="D36">
        <v>500</v>
      </c>
      <c r="E36">
        <v>500</v>
      </c>
      <c r="F36">
        <v>500</v>
      </c>
      <c r="G36" s="1">
        <v>2790.8180000000002</v>
      </c>
      <c r="H36" s="1">
        <v>0.18490000000000001</v>
      </c>
      <c r="I36" s="1">
        <v>316.39999999999998</v>
      </c>
      <c r="J36" s="1">
        <v>1.004</v>
      </c>
      <c r="K36" s="1">
        <v>46949.1</v>
      </c>
      <c r="L36" s="1">
        <v>3584.4</v>
      </c>
      <c r="M36" s="1">
        <v>90.6</v>
      </c>
      <c r="N36" s="1">
        <v>89.6</v>
      </c>
      <c r="O36">
        <v>509</v>
      </c>
    </row>
    <row r="37" spans="1:15" x14ac:dyDescent="0.25">
      <c r="A37" s="1">
        <v>381.93799999999999</v>
      </c>
      <c r="B37" s="1" t="s">
        <v>15</v>
      </c>
      <c r="C37" s="1" t="s">
        <v>18</v>
      </c>
      <c r="D37">
        <v>500</v>
      </c>
      <c r="E37">
        <v>500</v>
      </c>
      <c r="F37">
        <v>500</v>
      </c>
      <c r="G37" s="1">
        <v>2778.6950000000002</v>
      </c>
      <c r="H37" s="1">
        <v>0.17749999999999999</v>
      </c>
      <c r="I37" s="1">
        <v>317.5</v>
      </c>
      <c r="J37" s="1">
        <v>1.008</v>
      </c>
      <c r="K37" s="1">
        <v>46790.400000000001</v>
      </c>
      <c r="L37" s="1">
        <v>3611</v>
      </c>
      <c r="M37" s="1">
        <v>91.3</v>
      </c>
      <c r="N37" s="1">
        <v>90.3</v>
      </c>
      <c r="O37">
        <v>509</v>
      </c>
    </row>
    <row r="38" spans="1:15" x14ac:dyDescent="0.25">
      <c r="A38" s="1">
        <v>382.94799999999998</v>
      </c>
      <c r="B38" s="1" t="s">
        <v>15</v>
      </c>
      <c r="C38" s="1" t="s">
        <v>18</v>
      </c>
      <c r="D38">
        <v>500</v>
      </c>
      <c r="E38">
        <v>500</v>
      </c>
      <c r="F38">
        <v>500</v>
      </c>
      <c r="G38" s="1">
        <v>2768.3110000000001</v>
      </c>
      <c r="H38" s="1">
        <v>0.17499999999999999</v>
      </c>
      <c r="I38" s="1">
        <v>316.60000000000002</v>
      </c>
      <c r="J38" s="1">
        <v>1.01</v>
      </c>
      <c r="K38" s="1">
        <v>46653.5</v>
      </c>
      <c r="L38" s="1">
        <v>3602.7</v>
      </c>
      <c r="M38" s="1">
        <v>92</v>
      </c>
      <c r="N38" s="1">
        <v>90.1</v>
      </c>
      <c r="O38">
        <v>509</v>
      </c>
    </row>
    <row r="39" spans="1:15" x14ac:dyDescent="0.25">
      <c r="A39" s="1">
        <v>383.94900000000001</v>
      </c>
      <c r="B39" s="1" t="s">
        <v>15</v>
      </c>
      <c r="C39" s="1" t="s">
        <v>18</v>
      </c>
      <c r="D39">
        <v>500</v>
      </c>
      <c r="E39">
        <v>500</v>
      </c>
      <c r="F39">
        <v>500</v>
      </c>
      <c r="G39" s="1">
        <v>2800.9360000000001</v>
      </c>
      <c r="H39" s="1">
        <v>0.1608</v>
      </c>
      <c r="I39" s="1">
        <v>316.60000000000002</v>
      </c>
      <c r="J39" s="1">
        <v>1.0009999999999999</v>
      </c>
      <c r="K39" s="1">
        <v>47055.7</v>
      </c>
      <c r="L39" s="1">
        <v>3594.8</v>
      </c>
      <c r="M39" s="1">
        <v>89.9</v>
      </c>
      <c r="N39" s="1">
        <v>89.9</v>
      </c>
      <c r="O39">
        <v>509</v>
      </c>
    </row>
    <row r="40" spans="1:15" x14ac:dyDescent="0.25">
      <c r="A40" s="1">
        <v>384.95</v>
      </c>
      <c r="B40" s="1" t="s">
        <v>15</v>
      </c>
      <c r="C40" s="1" t="s">
        <v>18</v>
      </c>
      <c r="D40">
        <v>500</v>
      </c>
      <c r="E40">
        <v>500</v>
      </c>
      <c r="F40">
        <v>500</v>
      </c>
      <c r="G40" s="1">
        <v>2769.7020000000002</v>
      </c>
      <c r="H40" s="1">
        <v>0.15140000000000001</v>
      </c>
      <c r="I40" s="1">
        <v>316.5</v>
      </c>
      <c r="J40" s="1">
        <v>1</v>
      </c>
      <c r="K40" s="1">
        <v>46599.199999999997</v>
      </c>
      <c r="L40" s="1">
        <v>3598.3</v>
      </c>
      <c r="M40" s="1">
        <v>90</v>
      </c>
      <c r="N40" s="1">
        <v>90</v>
      </c>
      <c r="O40">
        <v>509</v>
      </c>
    </row>
    <row r="41" spans="1:15" x14ac:dyDescent="0.25">
      <c r="A41" s="1">
        <v>385.95100000000002</v>
      </c>
      <c r="B41" s="1" t="s">
        <v>15</v>
      </c>
      <c r="C41" s="1" t="s">
        <v>18</v>
      </c>
      <c r="D41">
        <v>500</v>
      </c>
      <c r="E41">
        <v>500</v>
      </c>
      <c r="F41">
        <v>500</v>
      </c>
      <c r="G41" s="1">
        <v>2771.0450000000001</v>
      </c>
      <c r="H41" s="1">
        <v>0.1431</v>
      </c>
      <c r="I41" s="1">
        <v>316.5</v>
      </c>
      <c r="J41" s="1">
        <v>1.0009999999999999</v>
      </c>
      <c r="K41" s="1">
        <v>46612.1</v>
      </c>
      <c r="L41" s="1">
        <v>3597.5</v>
      </c>
      <c r="M41" s="1">
        <v>89.9</v>
      </c>
      <c r="N41" s="1">
        <v>89.9</v>
      </c>
      <c r="O41">
        <v>509</v>
      </c>
    </row>
    <row r="42" spans="1:15" x14ac:dyDescent="0.25">
      <c r="A42" s="1">
        <v>386.952</v>
      </c>
      <c r="B42" s="1" t="s">
        <v>15</v>
      </c>
      <c r="C42" s="1" t="s">
        <v>18</v>
      </c>
      <c r="D42">
        <v>500</v>
      </c>
      <c r="E42">
        <v>500</v>
      </c>
      <c r="F42">
        <v>500</v>
      </c>
      <c r="G42" s="1">
        <v>2802.4720000000002</v>
      </c>
      <c r="H42" s="1">
        <v>0.12959999999999999</v>
      </c>
      <c r="I42" s="1">
        <v>316.39999999999998</v>
      </c>
      <c r="J42" s="1">
        <v>1.0009999999999999</v>
      </c>
      <c r="K42" s="1">
        <v>47105.7</v>
      </c>
      <c r="L42" s="1">
        <v>3595.5</v>
      </c>
      <c r="M42" s="1">
        <v>89.9</v>
      </c>
      <c r="N42" s="1">
        <v>89.9</v>
      </c>
      <c r="O42">
        <v>509</v>
      </c>
    </row>
    <row r="43" spans="1:15" x14ac:dyDescent="0.25">
      <c r="A43" s="1">
        <v>387.95299999999997</v>
      </c>
      <c r="B43" s="1" t="s">
        <v>15</v>
      </c>
      <c r="C43" s="1" t="s">
        <v>18</v>
      </c>
      <c r="D43">
        <v>500</v>
      </c>
      <c r="E43">
        <v>500</v>
      </c>
      <c r="F43">
        <v>500</v>
      </c>
      <c r="G43" s="1">
        <v>2776.6610000000001</v>
      </c>
      <c r="H43" s="1">
        <v>0.121</v>
      </c>
      <c r="I43" s="1">
        <v>315.89999999999998</v>
      </c>
      <c r="J43" s="1">
        <v>1.0009999999999999</v>
      </c>
      <c r="K43" s="1">
        <v>46694.8</v>
      </c>
      <c r="L43" s="1">
        <v>3595.7</v>
      </c>
      <c r="M43" s="1">
        <v>89.9</v>
      </c>
      <c r="N43" s="1">
        <v>89.9</v>
      </c>
      <c r="O43">
        <v>509</v>
      </c>
    </row>
    <row r="44" spans="1:15" x14ac:dyDescent="0.25">
      <c r="A44" s="1">
        <v>388.95600000000002</v>
      </c>
      <c r="B44" s="1" t="s">
        <v>15</v>
      </c>
      <c r="C44" s="1" t="s">
        <v>18</v>
      </c>
      <c r="D44">
        <v>500</v>
      </c>
      <c r="E44">
        <v>500</v>
      </c>
      <c r="F44">
        <v>500</v>
      </c>
      <c r="G44" s="1">
        <v>2769.297</v>
      </c>
      <c r="H44" s="1">
        <v>0.112</v>
      </c>
      <c r="I44" s="1">
        <v>315.2</v>
      </c>
      <c r="J44" s="1">
        <v>1.0029999999999999</v>
      </c>
      <c r="K44" s="1">
        <v>46637.4</v>
      </c>
      <c r="L44" s="1">
        <v>3588.7</v>
      </c>
      <c r="M44" s="1">
        <v>90.7</v>
      </c>
      <c r="N44" s="1">
        <v>89.7</v>
      </c>
      <c r="O44">
        <v>509</v>
      </c>
    </row>
    <row r="45" spans="1:15" x14ac:dyDescent="0.25">
      <c r="A45" s="1">
        <v>389.95699999999999</v>
      </c>
      <c r="B45" s="1" t="s">
        <v>15</v>
      </c>
      <c r="C45" s="1" t="s">
        <v>18</v>
      </c>
      <c r="D45">
        <v>500</v>
      </c>
      <c r="E45">
        <v>500</v>
      </c>
      <c r="F45">
        <v>500</v>
      </c>
      <c r="G45" s="1">
        <v>2789.7510000000002</v>
      </c>
      <c r="H45" s="1">
        <v>0.1007</v>
      </c>
      <c r="I45" s="1">
        <v>314.3</v>
      </c>
      <c r="J45" s="1">
        <v>1</v>
      </c>
      <c r="K45" s="1">
        <v>46862</v>
      </c>
      <c r="L45" s="1">
        <v>3558.4</v>
      </c>
      <c r="M45" s="1">
        <v>89</v>
      </c>
      <c r="N45" s="1">
        <v>89</v>
      </c>
      <c r="O45">
        <v>509</v>
      </c>
    </row>
    <row r="46" spans="1:15" x14ac:dyDescent="0.25">
      <c r="A46" s="1">
        <v>390.96600000000001</v>
      </c>
      <c r="B46" s="1" t="s">
        <v>15</v>
      </c>
      <c r="C46" s="1" t="s">
        <v>18</v>
      </c>
      <c r="D46">
        <v>500</v>
      </c>
      <c r="E46">
        <v>500</v>
      </c>
      <c r="F46">
        <v>500</v>
      </c>
      <c r="G46" s="1">
        <v>2800.8</v>
      </c>
      <c r="H46" s="1">
        <v>9.5000000000000001E-2</v>
      </c>
      <c r="I46" s="1">
        <v>313.5</v>
      </c>
      <c r="J46" s="1">
        <v>1.01</v>
      </c>
      <c r="K46" s="1">
        <v>47129.3</v>
      </c>
      <c r="L46" s="1">
        <v>3644.6</v>
      </c>
      <c r="M46" s="1">
        <v>91.1</v>
      </c>
      <c r="N46" s="1">
        <v>91.1</v>
      </c>
      <c r="O46">
        <v>509</v>
      </c>
    </row>
    <row r="47" spans="1:15" x14ac:dyDescent="0.25">
      <c r="A47" s="1">
        <v>391.96699999999998</v>
      </c>
      <c r="B47" s="1" t="s">
        <v>15</v>
      </c>
      <c r="C47" s="1" t="s">
        <v>18</v>
      </c>
      <c r="D47">
        <v>500</v>
      </c>
      <c r="E47">
        <v>500</v>
      </c>
      <c r="F47">
        <v>500</v>
      </c>
      <c r="G47" s="1">
        <v>2784.8380000000002</v>
      </c>
      <c r="H47" s="1">
        <v>8.4699999999999998E-2</v>
      </c>
      <c r="I47" s="1">
        <v>313.7</v>
      </c>
      <c r="J47" s="1">
        <v>1</v>
      </c>
      <c r="K47" s="1">
        <v>46830.5</v>
      </c>
      <c r="L47" s="1">
        <v>3598.5</v>
      </c>
      <c r="M47" s="1">
        <v>90</v>
      </c>
      <c r="N47" s="1">
        <v>90</v>
      </c>
      <c r="O47">
        <v>509</v>
      </c>
    </row>
    <row r="48" spans="1:15" x14ac:dyDescent="0.25">
      <c r="A48" s="1">
        <v>392.97500000000002</v>
      </c>
      <c r="B48" s="1" t="s">
        <v>15</v>
      </c>
      <c r="C48" s="1" t="s">
        <v>18</v>
      </c>
      <c r="D48">
        <v>500</v>
      </c>
      <c r="E48">
        <v>500</v>
      </c>
      <c r="F48">
        <v>500</v>
      </c>
      <c r="G48" s="1">
        <v>2769.3020000000001</v>
      </c>
      <c r="H48" s="1">
        <v>8.1100000000000005E-2</v>
      </c>
      <c r="I48" s="1">
        <v>314.10000000000002</v>
      </c>
      <c r="J48" s="1">
        <v>1.008</v>
      </c>
      <c r="K48" s="1">
        <v>46606</v>
      </c>
      <c r="L48" s="1">
        <v>3610.4</v>
      </c>
      <c r="M48" s="1">
        <v>90.3</v>
      </c>
      <c r="N48" s="1">
        <v>90.3</v>
      </c>
      <c r="O48">
        <v>509</v>
      </c>
    </row>
    <row r="49" spans="1:15" x14ac:dyDescent="0.25">
      <c r="A49" s="1">
        <v>393.976</v>
      </c>
      <c r="B49" s="1" t="s">
        <v>15</v>
      </c>
      <c r="C49" s="1" t="s">
        <v>18</v>
      </c>
      <c r="D49">
        <v>500</v>
      </c>
      <c r="E49">
        <v>500</v>
      </c>
      <c r="F49">
        <v>500</v>
      </c>
      <c r="G49" s="1">
        <v>2768.748</v>
      </c>
      <c r="H49" s="1">
        <v>8.7800000000000003E-2</v>
      </c>
      <c r="I49" s="1">
        <v>315</v>
      </c>
      <c r="J49" s="1">
        <v>1.0009999999999999</v>
      </c>
      <c r="K49" s="1">
        <v>46570.3</v>
      </c>
      <c r="L49" s="1">
        <v>3595.8</v>
      </c>
      <c r="M49" s="1">
        <v>89.9</v>
      </c>
      <c r="N49" s="1">
        <v>89.9</v>
      </c>
      <c r="O49">
        <v>509</v>
      </c>
    </row>
    <row r="50" spans="1:15" x14ac:dyDescent="0.25">
      <c r="A50" s="1">
        <v>394.98700000000002</v>
      </c>
      <c r="B50" s="1" t="s">
        <v>15</v>
      </c>
      <c r="C50" s="1" t="s">
        <v>18</v>
      </c>
      <c r="D50">
        <v>500</v>
      </c>
      <c r="E50">
        <v>500</v>
      </c>
      <c r="F50">
        <v>500</v>
      </c>
      <c r="G50" s="1">
        <v>2773.5929999999998</v>
      </c>
      <c r="H50" s="1">
        <v>9.9099999999999994E-2</v>
      </c>
      <c r="I50" s="1">
        <v>316.39999999999998</v>
      </c>
      <c r="J50" s="1">
        <v>1.0109999999999999</v>
      </c>
      <c r="K50" s="1">
        <v>46648.6</v>
      </c>
      <c r="L50" s="1">
        <v>3600.5</v>
      </c>
      <c r="M50" s="1">
        <v>90</v>
      </c>
      <c r="N50" s="1">
        <v>90</v>
      </c>
      <c r="O50">
        <v>509</v>
      </c>
    </row>
    <row r="51" spans="1:15" x14ac:dyDescent="0.25">
      <c r="A51" s="1">
        <v>395.99400000000003</v>
      </c>
      <c r="B51" s="1" t="s">
        <v>15</v>
      </c>
      <c r="C51" s="1" t="s">
        <v>18</v>
      </c>
      <c r="D51">
        <v>500</v>
      </c>
      <c r="E51">
        <v>500</v>
      </c>
      <c r="F51">
        <v>500</v>
      </c>
      <c r="G51" s="1">
        <v>2749.4830000000002</v>
      </c>
      <c r="H51" s="1">
        <v>0.1153</v>
      </c>
      <c r="I51" s="1">
        <v>315.5</v>
      </c>
      <c r="J51" s="1">
        <v>1.0069999999999999</v>
      </c>
      <c r="K51" s="1">
        <v>46252.5</v>
      </c>
      <c r="L51" s="1">
        <v>3575.9</v>
      </c>
      <c r="M51" s="1">
        <v>89.4</v>
      </c>
      <c r="N51" s="1">
        <v>89.4</v>
      </c>
      <c r="O51">
        <v>509</v>
      </c>
    </row>
    <row r="52" spans="1:15" x14ac:dyDescent="0.25">
      <c r="A52" s="1">
        <v>397.00099999999998</v>
      </c>
      <c r="B52" s="1" t="s">
        <v>15</v>
      </c>
      <c r="C52" s="1" t="s">
        <v>18</v>
      </c>
      <c r="D52">
        <v>500</v>
      </c>
      <c r="E52">
        <v>500</v>
      </c>
      <c r="F52">
        <v>500</v>
      </c>
      <c r="G52" s="1">
        <v>2738.4290000000001</v>
      </c>
      <c r="H52" s="1">
        <v>0.13780000000000001</v>
      </c>
      <c r="I52" s="1">
        <v>315</v>
      </c>
      <c r="J52" s="1">
        <v>1.0069999999999999</v>
      </c>
      <c r="K52" s="1">
        <v>46084.6</v>
      </c>
      <c r="L52" s="1">
        <v>3574.5</v>
      </c>
      <c r="M52" s="1">
        <v>89.4</v>
      </c>
      <c r="N52" s="1">
        <v>89.4</v>
      </c>
      <c r="O52">
        <v>509</v>
      </c>
    </row>
    <row r="53" spans="1:15" x14ac:dyDescent="0.25">
      <c r="A53" s="1">
        <v>398.00299999999999</v>
      </c>
      <c r="B53" s="1" t="s">
        <v>15</v>
      </c>
      <c r="C53" s="1" t="s">
        <v>18</v>
      </c>
      <c r="D53">
        <v>500</v>
      </c>
      <c r="E53">
        <v>500</v>
      </c>
      <c r="F53">
        <v>500</v>
      </c>
      <c r="G53" s="1">
        <v>2747.1570000000002</v>
      </c>
      <c r="H53" s="1">
        <v>0.17180000000000001</v>
      </c>
      <c r="I53" s="1">
        <v>315.2</v>
      </c>
      <c r="J53" s="1">
        <v>1.002</v>
      </c>
      <c r="K53" s="1">
        <v>46262.8</v>
      </c>
      <c r="L53" s="1">
        <v>3631</v>
      </c>
      <c r="M53" s="1">
        <v>90.8</v>
      </c>
      <c r="N53" s="1">
        <v>90.8</v>
      </c>
      <c r="O53">
        <v>509</v>
      </c>
    </row>
    <row r="54" spans="1:15" x14ac:dyDescent="0.25">
      <c r="A54" s="1">
        <v>399.00400000000002</v>
      </c>
      <c r="B54" s="1" t="s">
        <v>15</v>
      </c>
      <c r="C54" s="1" t="s">
        <v>18</v>
      </c>
      <c r="D54">
        <v>500</v>
      </c>
      <c r="E54">
        <v>500</v>
      </c>
      <c r="F54">
        <v>500</v>
      </c>
      <c r="G54" s="1">
        <v>2750.0010000000002</v>
      </c>
      <c r="H54" s="1">
        <v>0.1991</v>
      </c>
      <c r="I54" s="1">
        <v>315.60000000000002</v>
      </c>
      <c r="J54" s="1">
        <v>1</v>
      </c>
      <c r="K54" s="1">
        <v>46277.2</v>
      </c>
      <c r="L54" s="1">
        <v>3598.7</v>
      </c>
      <c r="M54" s="1">
        <v>90</v>
      </c>
      <c r="N54" s="1">
        <v>90</v>
      </c>
      <c r="O54">
        <v>509</v>
      </c>
    </row>
    <row r="55" spans="1:15" x14ac:dyDescent="0.25">
      <c r="A55" s="1">
        <v>400.01</v>
      </c>
      <c r="B55" s="1" t="s">
        <v>15</v>
      </c>
      <c r="C55" s="1" t="s">
        <v>18</v>
      </c>
      <c r="D55">
        <v>500</v>
      </c>
      <c r="E55">
        <v>500</v>
      </c>
      <c r="F55">
        <v>500</v>
      </c>
      <c r="G55" s="1">
        <v>2744.97</v>
      </c>
      <c r="H55" s="1">
        <v>0.22459999999999999</v>
      </c>
      <c r="I55" s="1">
        <v>316.10000000000002</v>
      </c>
      <c r="J55" s="1">
        <v>1.006</v>
      </c>
      <c r="K55" s="1">
        <v>46145.5</v>
      </c>
      <c r="L55" s="1">
        <v>3539.3</v>
      </c>
      <c r="M55" s="1">
        <v>88.5</v>
      </c>
      <c r="N55" s="1">
        <v>88.5</v>
      </c>
      <c r="O55">
        <v>509</v>
      </c>
    </row>
    <row r="56" spans="1:15" x14ac:dyDescent="0.25">
      <c r="A56" s="1">
        <v>401.01</v>
      </c>
      <c r="B56" s="1" t="s">
        <v>15</v>
      </c>
      <c r="C56" s="1" t="s">
        <v>18</v>
      </c>
      <c r="D56">
        <v>500</v>
      </c>
      <c r="E56">
        <v>500</v>
      </c>
      <c r="F56">
        <v>500</v>
      </c>
      <c r="G56" s="1">
        <v>2758.3649999999998</v>
      </c>
      <c r="H56" s="1">
        <v>0.2349</v>
      </c>
      <c r="I56" s="1">
        <v>316.10000000000002</v>
      </c>
      <c r="J56" s="1">
        <v>1</v>
      </c>
      <c r="K56" s="1">
        <v>46452.3</v>
      </c>
      <c r="L56" s="1">
        <v>3639.2</v>
      </c>
      <c r="M56" s="1">
        <v>91</v>
      </c>
      <c r="N56" s="1">
        <v>91</v>
      </c>
      <c r="O56">
        <v>509</v>
      </c>
    </row>
    <row r="57" spans="1:15" x14ac:dyDescent="0.25">
      <c r="A57" s="1">
        <v>402.01299999999998</v>
      </c>
      <c r="B57" s="1" t="s">
        <v>15</v>
      </c>
      <c r="C57" s="1" t="s">
        <v>18</v>
      </c>
      <c r="D57">
        <v>500</v>
      </c>
      <c r="E57">
        <v>500</v>
      </c>
      <c r="F57">
        <v>500</v>
      </c>
      <c r="G57" s="1">
        <v>2793.9059999999999</v>
      </c>
      <c r="H57" s="1">
        <v>0.2329</v>
      </c>
      <c r="I57" s="1">
        <v>314.39999999999998</v>
      </c>
      <c r="J57" s="1">
        <v>1.0029999999999999</v>
      </c>
      <c r="K57" s="1">
        <v>46962.9</v>
      </c>
      <c r="L57" s="1">
        <v>3589.6</v>
      </c>
      <c r="M57" s="1">
        <v>89.7</v>
      </c>
      <c r="N57" s="1">
        <v>89.7</v>
      </c>
      <c r="O57">
        <v>509</v>
      </c>
    </row>
    <row r="58" spans="1:15" x14ac:dyDescent="0.25">
      <c r="A58" s="1">
        <v>403.024</v>
      </c>
      <c r="B58" s="1" t="s">
        <v>15</v>
      </c>
      <c r="C58" s="1" t="s">
        <v>18</v>
      </c>
      <c r="D58">
        <v>500</v>
      </c>
      <c r="E58">
        <v>500</v>
      </c>
      <c r="F58">
        <v>500</v>
      </c>
      <c r="G58" s="1">
        <v>2774.8229999999999</v>
      </c>
      <c r="H58" s="1">
        <v>0.23219999999999999</v>
      </c>
      <c r="I58" s="1">
        <v>313.8</v>
      </c>
      <c r="J58" s="1">
        <v>1.0109999999999999</v>
      </c>
      <c r="K58" s="1">
        <v>46670.6</v>
      </c>
      <c r="L58" s="1">
        <v>3599.6</v>
      </c>
      <c r="M58" s="1">
        <v>90</v>
      </c>
      <c r="N58" s="1">
        <v>90</v>
      </c>
      <c r="O58">
        <v>509</v>
      </c>
    </row>
    <row r="59" spans="1:15" x14ac:dyDescent="0.25">
      <c r="A59" s="1">
        <v>404.029</v>
      </c>
      <c r="B59" s="1" t="s">
        <v>15</v>
      </c>
      <c r="C59" s="1" t="s">
        <v>18</v>
      </c>
      <c r="D59">
        <v>500</v>
      </c>
      <c r="E59">
        <v>500</v>
      </c>
      <c r="F59">
        <v>500</v>
      </c>
      <c r="G59" s="1">
        <v>2776.9940000000001</v>
      </c>
      <c r="H59" s="1">
        <v>0.22700000000000001</v>
      </c>
      <c r="I59" s="1">
        <v>314.2</v>
      </c>
      <c r="J59" s="1">
        <v>1.0049999999999999</v>
      </c>
      <c r="K59" s="1">
        <v>46696.7</v>
      </c>
      <c r="L59" s="1">
        <v>3580.7</v>
      </c>
      <c r="M59" s="1">
        <v>89.5</v>
      </c>
      <c r="N59" s="1">
        <v>89.5</v>
      </c>
      <c r="O59">
        <v>509</v>
      </c>
    </row>
    <row r="60" spans="1:15" x14ac:dyDescent="0.25">
      <c r="A60" s="1">
        <v>405.03699999999998</v>
      </c>
      <c r="B60" s="1" t="s">
        <v>15</v>
      </c>
      <c r="C60" s="1" t="s">
        <v>18</v>
      </c>
      <c r="D60">
        <v>500</v>
      </c>
      <c r="E60">
        <v>500</v>
      </c>
      <c r="F60">
        <v>500</v>
      </c>
      <c r="G60" s="1">
        <v>2765.4630000000002</v>
      </c>
      <c r="H60" s="1">
        <v>0.22359999999999999</v>
      </c>
      <c r="I60" s="1">
        <v>314</v>
      </c>
      <c r="J60" s="1">
        <v>1.0069999999999999</v>
      </c>
      <c r="K60" s="1">
        <v>46559.199999999997</v>
      </c>
      <c r="L60" s="1">
        <v>3613.2</v>
      </c>
      <c r="M60" s="1">
        <v>90.3</v>
      </c>
      <c r="N60" s="1">
        <v>90.3</v>
      </c>
      <c r="O60">
        <v>509</v>
      </c>
    </row>
    <row r="61" spans="1:15" x14ac:dyDescent="0.25">
      <c r="A61" s="1">
        <v>406.03699999999998</v>
      </c>
      <c r="B61" s="1" t="s">
        <v>15</v>
      </c>
      <c r="C61" s="1" t="s">
        <v>18</v>
      </c>
      <c r="D61">
        <v>500</v>
      </c>
      <c r="E61">
        <v>500</v>
      </c>
      <c r="F61">
        <v>500</v>
      </c>
      <c r="G61" s="1">
        <v>2772.8809999999999</v>
      </c>
      <c r="H61" s="1">
        <v>0.21809999999999999</v>
      </c>
      <c r="I61" s="1">
        <v>314.89999999999998</v>
      </c>
      <c r="J61" s="1">
        <v>1</v>
      </c>
      <c r="K61" s="1">
        <v>46580.2</v>
      </c>
      <c r="L61" s="1">
        <v>3558.6</v>
      </c>
      <c r="M61" s="1">
        <v>89</v>
      </c>
      <c r="N61" s="1">
        <v>89</v>
      </c>
      <c r="O61">
        <v>509</v>
      </c>
    </row>
    <row r="62" spans="1:15" x14ac:dyDescent="0.25">
      <c r="A62" s="1">
        <v>407.041</v>
      </c>
      <c r="B62" s="1" t="s">
        <v>15</v>
      </c>
      <c r="C62" s="1" t="s">
        <v>18</v>
      </c>
      <c r="D62">
        <v>500</v>
      </c>
      <c r="E62">
        <v>500</v>
      </c>
      <c r="F62">
        <v>500</v>
      </c>
      <c r="G62" s="1">
        <v>2802.4409999999998</v>
      </c>
      <c r="H62" s="1">
        <v>0.2036</v>
      </c>
      <c r="I62" s="1">
        <v>314.5</v>
      </c>
      <c r="J62" s="1">
        <v>1.004</v>
      </c>
      <c r="K62" s="1">
        <v>47136.4</v>
      </c>
      <c r="L62" s="1">
        <v>3626.3</v>
      </c>
      <c r="M62" s="1">
        <v>90.7</v>
      </c>
      <c r="N62" s="1">
        <v>90.7</v>
      </c>
      <c r="O62">
        <v>509</v>
      </c>
    </row>
    <row r="63" spans="1:15" x14ac:dyDescent="0.25">
      <c r="A63" s="1">
        <f>SUBTOTAL(101,RB_20261022_151003[client_time_s])</f>
        <v>376.92191803278689</v>
      </c>
      <c r="B63" s="1"/>
      <c r="C63" s="1"/>
      <c r="D63">
        <f>SUBTOTAL(101,RB_20261022_151003[configured_actors])</f>
        <v>500</v>
      </c>
      <c r="E63">
        <f>SUBTOTAL(101,RB_20261022_151003[observed_actors])</f>
        <v>500</v>
      </c>
      <c r="F63">
        <f>SUBTOTAL(101,RB_20261022_151003[actors_with_movement_samples])</f>
        <v>500</v>
      </c>
      <c r="G63" s="1">
        <f>SUBTOTAL(101,RB_20261022_151003[movement_events_per_s])</f>
        <v>2729.1038852459014</v>
      </c>
      <c r="H63" s="1">
        <f>SUBTOTAL(101,RB_20261022_151003[mean_age_since_event_s])</f>
        <v>0.16838524590163931</v>
      </c>
      <c r="I63" s="1">
        <f>SUBTOTAL(101,RB_20261022_151003[client_ping_ms])</f>
        <v>315.64098360655731</v>
      </c>
      <c r="J63" s="1">
        <f>SUBTOTAL(101,RB_20261022_151003[net_sample_duration_s])</f>
        <v>1.0033666666666665</v>
      </c>
      <c r="K63" s="1">
        <f>SUBTOTAL(101,RB_20261022_151003[in_bytes_per_s])</f>
        <v>46729.483333333344</v>
      </c>
      <c r="L63" s="1">
        <f>SUBTOTAL(101,RB_20261022_151003[out_bytes_per_s])</f>
        <v>3596.8183333333336</v>
      </c>
      <c r="M63" s="1">
        <f>SUBTOTAL(101,RB_20261022_151003[in_packets_per_s])</f>
        <v>91.526666666666657</v>
      </c>
      <c r="N63" s="1">
        <f>SUBTOTAL(101,RB_20261022_151003[out_packets_per_s])</f>
        <v>89.928333333333313</v>
      </c>
      <c r="O63">
        <f>SUBTOTAL(101,RB_20261022_151003[net_actor_channels])</f>
        <v>509</v>
      </c>
    </row>
    <row r="64" spans="1:15" x14ac:dyDescent="0.25">
      <c r="G64" t="s">
        <v>24</v>
      </c>
      <c r="K64">
        <f>K63/1024</f>
        <v>45.634261067708344</v>
      </c>
    </row>
    <row r="65" spans="8:13" x14ac:dyDescent="0.25">
      <c r="H65" t="s">
        <v>20</v>
      </c>
      <c r="K65" t="s">
        <v>25</v>
      </c>
    </row>
    <row r="66" spans="8:13" x14ac:dyDescent="0.25">
      <c r="L66" t="s">
        <v>26</v>
      </c>
    </row>
    <row r="67" spans="8:13" x14ac:dyDescent="0.25">
      <c r="M67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BB87FC-CFA1-4E64-9E72-A32A801087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BASE_500A_60S_10MS</vt:lpstr>
      <vt:lpstr>RB_500A_60S_10MS</vt:lpstr>
      <vt:lpstr>BASE_500A_60S_300MS</vt:lpstr>
      <vt:lpstr>RB_500A_60S_300MS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Musaev</dc:creator>
  <cp:lastModifiedBy>Ruslan Musaev</cp:lastModifiedBy>
  <dcterms:created xsi:type="dcterms:W3CDTF">2026-10-22T13:10:55Z</dcterms:created>
  <dcterms:modified xsi:type="dcterms:W3CDTF">2026-10-22T13:30:48Z</dcterms:modified>
</cp:coreProperties>
</file>